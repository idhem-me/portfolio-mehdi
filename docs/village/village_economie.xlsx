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es" sheetId="1" state="visible" r:id="rId1"/>
    <sheet name="Batiments" sheetId="2" state="visible" r:id="rId2"/>
    <sheet name="Ameliorations" sheetId="3" state="visible" r:id="rId3"/>
    <sheet name="Constructions" sheetId="4" state="visible" r:id="rId4"/>
    <sheet name="Tuiles" sheetId="5" state="visible" r:id="rId5"/>
    <sheet name="Simul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#,##0.0"/>
    <numFmt numFmtId="166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2" fillId="0" borderId="0" pivotButton="0" quotePrefix="0" xfId="0"/>
    <xf numFmtId="0" fontId="3" fillId="3" borderId="0" pivotButton="0" quotePrefix="0" xfId="0"/>
    <xf numFmtId="3" fontId="0" fillId="0" borderId="0" pivotButton="0" quotePrefix="0" xfId="0"/>
    <xf numFmtId="4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0" fontId="3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Coût vs production (échelle log)</a:t>
            </a:r>
          </a:p>
        </rich>
      </tx>
    </title>
    <plotArea>
      <lineChart>
        <grouping val="standard"/>
        <ser>
          <idx val="0"/>
          <order val="0"/>
          <tx>
            <strRef>
              <f>'Ameliorations'!B4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'Ameliorations'!$A$5:$A$29</f>
            </numRef>
          </cat>
          <val>
            <numRef>
              <f>'Ameliorations'!$B$5:$B$29</f>
            </numRef>
          </val>
        </ser>
        <ser>
          <idx val="1"/>
          <order val="1"/>
          <tx>
            <strRef>
              <f>'Ameliorations'!L4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'Ameliorations'!$A$5:$A$29</f>
            </numRef>
          </cat>
          <val>
            <numRef>
              <f>'Ameliorations'!$L$5:$L$29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Niveau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Coût des tuiles (log)</a:t>
            </a:r>
          </a:p>
        </rich>
      </tx>
    </title>
    <plotArea>
      <lineChart>
        <grouping val="standard"/>
        <ser>
          <idx val="0"/>
          <order val="0"/>
          <tx>
            <strRef>
              <f>'Tuiles'!B1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'Tuiles'!$A$2:$A$61</f>
            </numRef>
          </cat>
          <val>
            <numRef>
              <f>'Tuiles'!$B$2:$B$61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60" customWidth="1" min="3" max="3"/>
  </cols>
  <sheetData>
    <row r="1">
      <c r="A1" s="1" t="inlineStr">
        <is>
          <t>Paramètre</t>
        </is>
      </c>
      <c r="B1" s="1" t="inlineStr">
        <is>
          <t>Valeur</t>
        </is>
      </c>
      <c r="C1" s="1" t="inlineStr">
        <is>
          <t>Description</t>
        </is>
      </c>
    </row>
    <row r="2">
      <c r="A2" t="inlineStr">
        <is>
          <t>buildGrowth</t>
        </is>
      </c>
      <c r="B2" s="2" t="n">
        <v>1.15</v>
      </c>
      <c r="C2" t="inlineStr">
        <is>
          <t>Multiplicateur du coût par exemplaire déjà construit</t>
        </is>
      </c>
    </row>
    <row r="3">
      <c r="A3" t="inlineStr">
        <is>
          <t>upgradeGrowth</t>
        </is>
      </c>
      <c r="B3" s="2" t="n">
        <v>1.6</v>
      </c>
      <c r="C3" t="inlineStr">
        <is>
          <t>Multiplicateur du coût par niveau</t>
        </is>
      </c>
    </row>
    <row r="4">
      <c r="A4" t="inlineStr">
        <is>
          <t>timeGrowth</t>
        </is>
      </c>
      <c r="B4" s="2" t="n">
        <v>1.45</v>
      </c>
      <c r="C4" t="inlineStr">
        <is>
          <t>Multiplicateur de durée par niveau</t>
        </is>
      </c>
    </row>
    <row r="5">
      <c r="A5" t="inlineStr">
        <is>
          <t>timeCapSec</t>
        </is>
      </c>
      <c r="B5" s="2" t="n">
        <v>28800</v>
      </c>
      <c r="C5" t="inlineStr">
        <is>
          <t>Durée max d'un chantier (s) = 8 h</t>
        </is>
      </c>
    </row>
    <row r="6">
      <c r="A6" t="inlineStr">
        <is>
          <t>prodGrowth</t>
        </is>
      </c>
      <c r="B6" s="2" t="n">
        <v>1.1</v>
      </c>
      <c r="C6" t="inlineStr">
        <is>
          <t>Bonus multiplicatif de production par niveau</t>
        </is>
      </c>
    </row>
    <row r="7">
      <c r="A7" t="inlineStr">
        <is>
          <t>tileBase</t>
        </is>
      </c>
      <c r="B7" s="2" t="n">
        <v>50</v>
      </c>
      <c r="C7" t="inlineStr">
        <is>
          <t>Coût en or de la 1re tuile</t>
        </is>
      </c>
    </row>
    <row r="8">
      <c r="A8" t="inlineStr">
        <is>
          <t>tileGrowth</t>
        </is>
      </c>
      <c r="B8" s="2" t="n">
        <v>1.35</v>
      </c>
      <c r="C8" t="inlineStr">
        <is>
          <t>Multiplicateur par tuile achetée</t>
        </is>
      </c>
    </row>
    <row r="9">
      <c r="A9" t="inlineStr">
        <is>
          <t>startTiles</t>
        </is>
      </c>
      <c r="B9" s="2" t="n">
        <v>36</v>
      </c>
      <c r="C9" t="inlineStr">
        <is>
          <t>Tuiles débloquées au départ (6×6)</t>
        </is>
      </c>
    </row>
    <row r="10">
      <c r="A10" t="inlineStr">
        <is>
          <t>maxTiles</t>
        </is>
      </c>
      <c r="B10" s="2" t="n">
        <v>256</v>
      </c>
      <c r="C10" t="inlineStr">
        <is>
          <t>Taille de la carte (16×16)</t>
        </is>
      </c>
    </row>
    <row r="11">
      <c r="A11" t="inlineStr">
        <is>
          <t>storageBaseSec</t>
        </is>
      </c>
      <c r="B11" s="2" t="n">
        <v>600</v>
      </c>
      <c r="C11" t="inlineStr">
        <is>
          <t>Stockage = X secondes de production au niv 1</t>
        </is>
      </c>
    </row>
    <row r="12">
      <c r="A12" t="inlineStr">
        <is>
          <t>storageLvlBonus</t>
        </is>
      </c>
      <c r="B12" s="2" t="n">
        <v>0.25</v>
      </c>
      <c r="C12" t="inlineStr">
        <is>
          <t>+% de stockage par niveau</t>
        </is>
      </c>
    </row>
    <row r="15">
      <c r="A15" t="inlineStr">
        <is>
          <t>💡 Les cellules jaunes sont modifiables : tout le classeur se recalcule.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7" customWidth="1" min="3" max="3"/>
    <col width="22" customWidth="1" min="4" max="4"/>
    <col width="9" customWidth="1" min="5" max="5"/>
    <col width="9" customWidth="1" min="6" max="6"/>
    <col width="9" customWidth="1" min="7" max="7"/>
    <col width="13" customWidth="1" min="8" max="8"/>
    <col width="11" customWidth="1" min="9" max="9"/>
    <col width="11" customWidth="1" min="10" max="10"/>
    <col width="12" customWidth="1" min="11" max="11"/>
    <col width="7" customWidth="1" min="12" max="12"/>
  </cols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Taille</t>
        </is>
      </c>
      <c r="D1" s="1" t="inlineStr">
        <is>
          <t>Déblocage</t>
        </is>
      </c>
      <c r="E1" s="1" t="inlineStr">
        <is>
          <t>Or</t>
        </is>
      </c>
      <c r="F1" s="1" t="inlineStr">
        <is>
          <t>Bois</t>
        </is>
      </c>
      <c r="G1" s="1" t="inlineStr">
        <is>
          <t>Pierre</t>
        </is>
      </c>
      <c r="H1" s="1" t="inlineStr">
        <is>
          <t>Temps base (s)</t>
        </is>
      </c>
      <c r="I1" s="1" t="inlineStr">
        <is>
          <t>Ressource</t>
        </is>
      </c>
      <c r="J1" s="1" t="inlineStr">
        <is>
          <t>Prod/s base</t>
        </is>
      </c>
      <c r="K1" s="1" t="inlineStr">
        <is>
          <t>Travailleurs</t>
        </is>
      </c>
      <c r="L1" s="1" t="inlineStr">
        <is>
          <t>+Pop</t>
        </is>
      </c>
    </row>
    <row r="2">
      <c r="A2" s="3" t="inlineStr">
        <is>
          <t>townhall</t>
        </is>
      </c>
      <c r="B2" s="3" t="inlineStr">
        <is>
          <t>Mairie</t>
        </is>
      </c>
      <c r="C2" s="3" t="inlineStr">
        <is>
          <t>2x2</t>
        </is>
      </c>
      <c r="D2" s="3" t="inlineStr">
        <is>
          <t>Départ</t>
        </is>
      </c>
      <c r="E2" s="4" t="n">
        <v>150</v>
      </c>
      <c r="F2" s="4" t="n">
        <v>80</v>
      </c>
      <c r="G2" s="4" t="n">
        <v>0</v>
      </c>
      <c r="H2" s="4" t="n">
        <v>30</v>
      </c>
      <c r="I2" s="3" t="inlineStr">
        <is>
          <t>gold</t>
        </is>
      </c>
      <c r="J2" s="4" t="n">
        <v>0.2</v>
      </c>
      <c r="K2" s="4" t="n">
        <v>0</v>
      </c>
      <c r="L2" s="4" t="n">
        <v>5</v>
      </c>
    </row>
    <row r="3">
      <c r="A3" s="3" t="inlineStr">
        <is>
          <t>house</t>
        </is>
      </c>
      <c r="B3" s="3" t="inlineStr">
        <is>
          <t>Maison</t>
        </is>
      </c>
      <c r="C3" s="3" t="inlineStr">
        <is>
          <t>1x1</t>
        </is>
      </c>
      <c r="D3" s="3" t="inlineStr">
        <is>
          <t>Départ</t>
        </is>
      </c>
      <c r="E3" s="4" t="n">
        <v>20</v>
      </c>
      <c r="F3" s="4" t="n">
        <v>10</v>
      </c>
      <c r="G3" s="4" t="n">
        <v>0</v>
      </c>
      <c r="H3" s="4" t="n">
        <v>10</v>
      </c>
      <c r="I3" s="3" t="inlineStr">
        <is>
          <t>gold</t>
        </is>
      </c>
      <c r="J3" s="4" t="n">
        <v>0.1</v>
      </c>
      <c r="K3" s="4" t="n">
        <v>0</v>
      </c>
      <c r="L3" s="4" t="n">
        <v>4</v>
      </c>
    </row>
    <row r="4">
      <c r="A4" s="3" t="inlineStr">
        <is>
          <t>sawmill</t>
        </is>
      </c>
      <c r="B4" s="3" t="inlineStr">
        <is>
          <t>Scierie</t>
        </is>
      </c>
      <c r="C4" s="3" t="inlineStr">
        <is>
          <t>1x1</t>
        </is>
      </c>
      <c r="D4" s="3" t="inlineStr">
        <is>
          <t>Départ</t>
        </is>
      </c>
      <c r="E4" s="4" t="n">
        <v>30</v>
      </c>
      <c r="F4" s="4" t="n">
        <v>0</v>
      </c>
      <c r="G4" s="4" t="n">
        <v>0</v>
      </c>
      <c r="H4" s="4" t="n">
        <v>15</v>
      </c>
      <c r="I4" s="3" t="inlineStr">
        <is>
          <t>wood</t>
        </is>
      </c>
      <c r="J4" s="4" t="n">
        <v>0.25</v>
      </c>
      <c r="K4" s="4" t="n">
        <v>2</v>
      </c>
      <c r="L4" s="4" t="n">
        <v>0</v>
      </c>
    </row>
    <row r="5">
      <c r="A5" s="3" t="inlineStr">
        <is>
          <t>quarry</t>
        </is>
      </c>
      <c r="B5" s="3" t="inlineStr">
        <is>
          <t>Carrière</t>
        </is>
      </c>
      <c r="C5" s="3" t="inlineStr">
        <is>
          <t>1x1</t>
        </is>
      </c>
      <c r="D5" s="3" t="inlineStr">
        <is>
          <t>Mairie 2</t>
        </is>
      </c>
      <c r="E5" s="4" t="n">
        <v>60</v>
      </c>
      <c r="F5" s="4" t="n">
        <v>40</v>
      </c>
      <c r="G5" s="4" t="n">
        <v>0</v>
      </c>
      <c r="H5" s="4" t="n">
        <v>30</v>
      </c>
      <c r="I5" s="3" t="inlineStr">
        <is>
          <t>stone</t>
        </is>
      </c>
      <c r="J5" s="4" t="n">
        <v>0.15</v>
      </c>
      <c r="K5" s="4" t="n">
        <v>3</v>
      </c>
      <c r="L5" s="4" t="n">
        <v>0</v>
      </c>
    </row>
    <row r="6">
      <c r="A6" s="3" t="inlineStr">
        <is>
          <t>school</t>
        </is>
      </c>
      <c r="B6" s="3" t="inlineStr">
        <is>
          <t>École</t>
        </is>
      </c>
      <c r="C6" s="3" t="inlineStr">
        <is>
          <t>2x1</t>
        </is>
      </c>
      <c r="D6" s="3" t="inlineStr">
        <is>
          <t>Mairie 2</t>
        </is>
      </c>
      <c r="E6" s="4" t="n">
        <v>120</v>
      </c>
      <c r="F6" s="4" t="n">
        <v>80</v>
      </c>
      <c r="G6" s="4" t="n">
        <v>0</v>
      </c>
      <c r="H6" s="4" t="n">
        <v>60</v>
      </c>
      <c r="I6" s="3" t="inlineStr">
        <is>
          <t>knowledge</t>
        </is>
      </c>
      <c r="J6" s="4" t="n">
        <v>0.05</v>
      </c>
      <c r="K6" s="4" t="n">
        <v>3</v>
      </c>
      <c r="L6" s="4" t="n">
        <v>0</v>
      </c>
    </row>
    <row r="7">
      <c r="A7" s="3" t="inlineStr">
        <is>
          <t>market</t>
        </is>
      </c>
      <c r="B7" s="3" t="inlineStr">
        <is>
          <t>Marché</t>
        </is>
      </c>
      <c r="C7" s="3" t="inlineStr">
        <is>
          <t>2x2</t>
        </is>
      </c>
      <c r="D7" s="3" t="inlineStr">
        <is>
          <t>50 savoir</t>
        </is>
      </c>
      <c r="E7" s="4" t="n">
        <v>300</v>
      </c>
      <c r="F7" s="4" t="n">
        <v>200</v>
      </c>
      <c r="G7" s="4" t="n">
        <v>100</v>
      </c>
      <c r="H7" s="4" t="n">
        <v>120</v>
      </c>
      <c r="I7" s="3" t="inlineStr">
        <is>
          <t>gold</t>
        </is>
      </c>
      <c r="J7" s="4" t="n">
        <v>0.5</v>
      </c>
      <c r="K7" s="4" t="n">
        <v>4</v>
      </c>
      <c r="L7" s="4" t="n">
        <v>0</v>
      </c>
    </row>
    <row r="8">
      <c r="A8" s="3" t="inlineStr">
        <is>
          <t>warehouse</t>
        </is>
      </c>
      <c r="B8" s="3" t="inlineStr">
        <is>
          <t>Entrepôt</t>
        </is>
      </c>
      <c r="C8" s="3" t="inlineStr">
        <is>
          <t>1x1</t>
        </is>
      </c>
      <c r="D8" s="3" t="inlineStr">
        <is>
          <t>Mairie 3</t>
        </is>
      </c>
      <c r="E8" s="4" t="n">
        <v>200</v>
      </c>
      <c r="F8" s="4" t="n">
        <v>150</v>
      </c>
      <c r="G8" s="4" t="n">
        <v>80</v>
      </c>
      <c r="H8" s="4" t="n">
        <v>90</v>
      </c>
      <c r="I8" s="3" t="inlineStr">
        <is>
          <t>-</t>
        </is>
      </c>
      <c r="J8" s="4" t="n">
        <v>0</v>
      </c>
      <c r="K8" s="4" t="n">
        <v>1</v>
      </c>
      <c r="L8" s="4" t="n">
        <v>0</v>
      </c>
    </row>
    <row r="9">
      <c r="A9" s="3" t="inlineStr">
        <is>
          <t>library</t>
        </is>
      </c>
      <c r="B9" s="3" t="inlineStr">
        <is>
          <t>Bibliothèque</t>
        </is>
      </c>
      <c r="C9" s="3" t="inlineStr">
        <is>
          <t>2x2</t>
        </is>
      </c>
      <c r="D9" s="3" t="inlineStr">
        <is>
          <t>200 savoir</t>
        </is>
      </c>
      <c r="E9" s="4" t="n">
        <v>600</v>
      </c>
      <c r="F9" s="4" t="n">
        <v>300</v>
      </c>
      <c r="G9" s="4" t="n">
        <v>300</v>
      </c>
      <c r="H9" s="4" t="n">
        <v>300</v>
      </c>
      <c r="I9" s="3" t="inlineStr">
        <is>
          <t>knowledge</t>
        </is>
      </c>
      <c r="J9" s="4" t="n">
        <v>0.2</v>
      </c>
      <c r="K9" s="4" t="n">
        <v>4</v>
      </c>
      <c r="L9" s="4" t="n">
        <v>0</v>
      </c>
    </row>
    <row r="10">
      <c r="A10" s="3" t="inlineStr">
        <is>
          <t>fountain</t>
        </is>
      </c>
      <c r="B10" s="3" t="inlineStr">
        <is>
          <t>Fontaine</t>
        </is>
      </c>
      <c r="C10" s="3" t="inlineStr">
        <is>
          <t>1x1</t>
        </is>
      </c>
      <c r="D10" s="3" t="inlineStr">
        <is>
          <t>Mairie 3</t>
        </is>
      </c>
      <c r="E10" s="4" t="n">
        <v>150</v>
      </c>
      <c r="F10" s="4" t="n">
        <v>0</v>
      </c>
      <c r="G10" s="4" t="n">
        <v>50</v>
      </c>
      <c r="H10" s="4" t="n">
        <v>60</v>
      </c>
      <c r="I10" s="3" t="inlineStr">
        <is>
          <t>-</t>
        </is>
      </c>
      <c r="J10" s="4" t="n">
        <v>0</v>
      </c>
      <c r="K10" s="4" t="n">
        <v>0</v>
      </c>
      <c r="L10" s="4" t="n">
        <v>0</v>
      </c>
    </row>
    <row r="11">
      <c r="A11" s="3" t="inlineStr">
        <is>
          <t>monument</t>
        </is>
      </c>
      <c r="B11" s="3" t="inlineStr">
        <is>
          <t>Monument</t>
        </is>
      </c>
      <c r="C11" s="3" t="inlineStr">
        <is>
          <t>3x3</t>
        </is>
      </c>
      <c r="D11" s="3" t="inlineStr">
        <is>
          <t>Mairie 8 + 1000 savoir</t>
        </is>
      </c>
      <c r="E11" s="4" t="n">
        <v>50000</v>
      </c>
      <c r="F11" s="4" t="n">
        <v>20000</v>
      </c>
      <c r="G11" s="4" t="n">
        <v>20000</v>
      </c>
      <c r="H11" s="4" t="n">
        <v>3600</v>
      </c>
      <c r="I11" s="3" t="inlineStr">
        <is>
          <t>-</t>
        </is>
      </c>
      <c r="J11" s="4" t="n">
        <v>0</v>
      </c>
      <c r="K11" s="4" t="n">
        <v>0</v>
      </c>
      <c r="L11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1" customWidth="1" min="3" max="3"/>
    <col width="11" customWidth="1" min="4" max="4"/>
    <col width="10" customWidth="1" min="5" max="5"/>
    <col width="10" customWidth="1" min="6" max="6"/>
    <col width="13" customWidth="1" min="7" max="7"/>
    <col width="15" customWidth="1" min="8" max="8"/>
    <col width="15" customWidth="1" min="9" max="9"/>
    <col width="13" customWidth="1" min="10" max="10"/>
    <col width="13" customWidth="1" min="11" max="11"/>
    <col width="15" customWidth="1" min="12" max="12"/>
  </cols>
  <sheetData>
    <row r="1">
      <c r="A1" s="5" t="inlineStr">
        <is>
          <t>Bâtiment →</t>
        </is>
      </c>
      <c r="B1" s="6" t="inlineStr">
        <is>
          <t>house</t>
        </is>
      </c>
      <c r="C1" t="inlineStr">
        <is>
          <t>← choisis un bâtiment dans la liste</t>
        </is>
      </c>
    </row>
    <row r="2">
      <c r="D2" t="inlineStr">
        <is>
          <t>Or base</t>
        </is>
      </c>
      <c r="E2" s="5">
        <f>INDEX(Batiments!$E$2:$E$11,MATCH($B$1,Batiments!$A$2:$A$11,0))</f>
        <v/>
      </c>
      <c r="F2" t="inlineStr">
        <is>
          <t>Bois base</t>
        </is>
      </c>
      <c r="G2" s="5">
        <f>INDEX(Batiments!$F$2:$F$11,MATCH($B$1,Batiments!$A$2:$A$11,0))</f>
        <v/>
      </c>
      <c r="H2" t="inlineStr">
        <is>
          <t>Pierre base</t>
        </is>
      </c>
      <c r="I2" s="5">
        <f>INDEX(Batiments!$G$2:$G$11,MATCH($B$1,Batiments!$A$2:$A$11,0))</f>
        <v/>
      </c>
      <c r="J2" t="inlineStr">
        <is>
          <t>Temps base</t>
        </is>
      </c>
      <c r="K2" s="5">
        <f>INDEX(Batiments!$H$2:$H$11,MATCH($B$1,Batiments!$A$2:$A$11,0))</f>
        <v/>
      </c>
      <c r="L2" t="inlineStr">
        <is>
          <t>Prod base</t>
        </is>
      </c>
      <c r="M2" s="5">
        <f>INDEX(Batiments!$J$2:$J$11,MATCH($B$1,Batiments!$A$2:$A$11,0))</f>
        <v/>
      </c>
    </row>
    <row r="4">
      <c r="A4" s="1" t="inlineStr">
        <is>
          <t>Niveau actuel</t>
        </is>
      </c>
      <c r="B4" s="1" t="inlineStr">
        <is>
          <t>Coût Or →niv+1</t>
        </is>
      </c>
      <c r="C4" s="1" t="inlineStr">
        <is>
          <t>Coût Bois</t>
        </is>
      </c>
      <c r="D4" s="1" t="inlineStr">
        <is>
          <t>Coût Pierre</t>
        </is>
      </c>
      <c r="E4" s="1" t="inlineStr">
        <is>
          <t>Durée (s)</t>
        </is>
      </c>
      <c r="F4" s="1" t="inlineStr">
        <is>
          <t>Durée</t>
        </is>
      </c>
      <c r="G4" s="1" t="inlineStr">
        <is>
          <t>Prod/s à ce niv</t>
        </is>
      </c>
      <c r="H4" s="1" t="inlineStr">
        <is>
          <t>Gain prod/s si up</t>
        </is>
      </c>
      <c r="I4" s="1" t="inlineStr">
        <is>
          <t>Rentabilité (min)</t>
        </is>
      </c>
      <c r="J4" s="1" t="inlineStr">
        <is>
          <t>Or cumulé</t>
        </is>
      </c>
      <c r="K4" s="1" t="inlineStr">
        <is>
          <t>Temps cumulé</t>
        </is>
      </c>
      <c r="L4" s="1" t="inlineStr">
        <is>
          <t>Stockage (unités)</t>
        </is>
      </c>
    </row>
    <row r="5">
      <c r="A5" t="n">
        <v>1</v>
      </c>
      <c r="B5" s="7">
        <f>ROUNDUP($E$2*Parametres!$B$3^A5,0)</f>
        <v/>
      </c>
      <c r="C5" s="7">
        <f>ROUNDUP($G$2*Parametres!$B$3^A5,0)</f>
        <v/>
      </c>
      <c r="D5" s="7">
        <f>ROUNDUP($I$2*Parametres!$B$3^A5,0)</f>
        <v/>
      </c>
      <c r="E5">
        <f>MIN(ROUND($K$2*Parametres!$B$4^A5,0),Parametres!$B$5)</f>
        <v/>
      </c>
      <c r="F5" s="8">
        <f>E5/86400</f>
        <v/>
      </c>
      <c r="G5" s="9">
        <f>$M$2*A5*Parametres!$B$6^A5</f>
        <v/>
      </c>
      <c r="H5" s="9">
        <f>$M$2*(A5+1)*Parametres!$B$6^(A5+1)-G5</f>
        <v/>
      </c>
      <c r="I5" s="10">
        <f>IF(H5&gt;0,B5/H5/60,"-")</f>
        <v/>
      </c>
      <c r="J5" s="7">
        <f>SUM($B$5:B5)</f>
        <v/>
      </c>
      <c r="K5" s="8">
        <f>SUM($E$5:E5)/86400</f>
        <v/>
      </c>
      <c r="L5" s="7">
        <f>G5*Parametres!$B$11*(1+Parametres!$B$12*(A5-1))</f>
        <v/>
      </c>
    </row>
    <row r="6">
      <c r="A6" t="n">
        <v>2</v>
      </c>
      <c r="B6" s="7">
        <f>ROUNDUP($E$2*Parametres!$B$3^A6,0)</f>
        <v/>
      </c>
      <c r="C6" s="7">
        <f>ROUNDUP($G$2*Parametres!$B$3^A6,0)</f>
        <v/>
      </c>
      <c r="D6" s="7">
        <f>ROUNDUP($I$2*Parametres!$B$3^A6,0)</f>
        <v/>
      </c>
      <c r="E6">
        <f>MIN(ROUND($K$2*Parametres!$B$4^A6,0),Parametres!$B$5)</f>
        <v/>
      </c>
      <c r="F6" s="8">
        <f>E6/86400</f>
        <v/>
      </c>
      <c r="G6" s="9">
        <f>$M$2*A6*Parametres!$B$6^A6</f>
        <v/>
      </c>
      <c r="H6" s="9">
        <f>$M$2*(A6+1)*Parametres!$B$6^(A6+1)-G6</f>
        <v/>
      </c>
      <c r="I6" s="10">
        <f>IF(H6&gt;0,B6/H6/60,"-")</f>
        <v/>
      </c>
      <c r="J6" s="7">
        <f>SUM($B$5:B6)</f>
        <v/>
      </c>
      <c r="K6" s="8">
        <f>SUM($E$5:E6)/86400</f>
        <v/>
      </c>
      <c r="L6" s="7">
        <f>G6*Parametres!$B$11*(1+Parametres!$B$12*(A6-1))</f>
        <v/>
      </c>
    </row>
    <row r="7">
      <c r="A7" t="n">
        <v>3</v>
      </c>
      <c r="B7" s="7">
        <f>ROUNDUP($E$2*Parametres!$B$3^A7,0)</f>
        <v/>
      </c>
      <c r="C7" s="7">
        <f>ROUNDUP($G$2*Parametres!$B$3^A7,0)</f>
        <v/>
      </c>
      <c r="D7" s="7">
        <f>ROUNDUP($I$2*Parametres!$B$3^A7,0)</f>
        <v/>
      </c>
      <c r="E7">
        <f>MIN(ROUND($K$2*Parametres!$B$4^A7,0),Parametres!$B$5)</f>
        <v/>
      </c>
      <c r="F7" s="8">
        <f>E7/86400</f>
        <v/>
      </c>
      <c r="G7" s="9">
        <f>$M$2*A7*Parametres!$B$6^A7</f>
        <v/>
      </c>
      <c r="H7" s="9">
        <f>$M$2*(A7+1)*Parametres!$B$6^(A7+1)-G7</f>
        <v/>
      </c>
      <c r="I7" s="10">
        <f>IF(H7&gt;0,B7/H7/60,"-")</f>
        <v/>
      </c>
      <c r="J7" s="7">
        <f>SUM($B$5:B7)</f>
        <v/>
      </c>
      <c r="K7" s="8">
        <f>SUM($E$5:E7)/86400</f>
        <v/>
      </c>
      <c r="L7" s="7">
        <f>G7*Parametres!$B$11*(1+Parametres!$B$12*(A7-1))</f>
        <v/>
      </c>
    </row>
    <row r="8">
      <c r="A8" t="n">
        <v>4</v>
      </c>
      <c r="B8" s="7">
        <f>ROUNDUP($E$2*Parametres!$B$3^A8,0)</f>
        <v/>
      </c>
      <c r="C8" s="7">
        <f>ROUNDUP($G$2*Parametres!$B$3^A8,0)</f>
        <v/>
      </c>
      <c r="D8" s="7">
        <f>ROUNDUP($I$2*Parametres!$B$3^A8,0)</f>
        <v/>
      </c>
      <c r="E8">
        <f>MIN(ROUND($K$2*Parametres!$B$4^A8,0),Parametres!$B$5)</f>
        <v/>
      </c>
      <c r="F8" s="8">
        <f>E8/86400</f>
        <v/>
      </c>
      <c r="G8" s="9">
        <f>$M$2*A8*Parametres!$B$6^A8</f>
        <v/>
      </c>
      <c r="H8" s="9">
        <f>$M$2*(A8+1)*Parametres!$B$6^(A8+1)-G8</f>
        <v/>
      </c>
      <c r="I8" s="10">
        <f>IF(H8&gt;0,B8/H8/60,"-")</f>
        <v/>
      </c>
      <c r="J8" s="7">
        <f>SUM($B$5:B8)</f>
        <v/>
      </c>
      <c r="K8" s="8">
        <f>SUM($E$5:E8)/86400</f>
        <v/>
      </c>
      <c r="L8" s="7">
        <f>G8*Parametres!$B$11*(1+Parametres!$B$12*(A8-1))</f>
        <v/>
      </c>
    </row>
    <row r="9">
      <c r="A9" t="n">
        <v>5</v>
      </c>
      <c r="B9" s="7">
        <f>ROUNDUP($E$2*Parametres!$B$3^A9,0)</f>
        <v/>
      </c>
      <c r="C9" s="7">
        <f>ROUNDUP($G$2*Parametres!$B$3^A9,0)</f>
        <v/>
      </c>
      <c r="D9" s="7">
        <f>ROUNDUP($I$2*Parametres!$B$3^A9,0)</f>
        <v/>
      </c>
      <c r="E9">
        <f>MIN(ROUND($K$2*Parametres!$B$4^A9,0),Parametres!$B$5)</f>
        <v/>
      </c>
      <c r="F9" s="8">
        <f>E9/86400</f>
        <v/>
      </c>
      <c r="G9" s="9">
        <f>$M$2*A9*Parametres!$B$6^A9</f>
        <v/>
      </c>
      <c r="H9" s="9">
        <f>$M$2*(A9+1)*Parametres!$B$6^(A9+1)-G9</f>
        <v/>
      </c>
      <c r="I9" s="10">
        <f>IF(H9&gt;0,B9/H9/60,"-")</f>
        <v/>
      </c>
      <c r="J9" s="7">
        <f>SUM($B$5:B9)</f>
        <v/>
      </c>
      <c r="K9" s="8">
        <f>SUM($E$5:E9)/86400</f>
        <v/>
      </c>
      <c r="L9" s="7">
        <f>G9*Parametres!$B$11*(1+Parametres!$B$12*(A9-1))</f>
        <v/>
      </c>
    </row>
    <row r="10">
      <c r="A10" t="n">
        <v>6</v>
      </c>
      <c r="B10" s="7">
        <f>ROUNDUP($E$2*Parametres!$B$3^A10,0)</f>
        <v/>
      </c>
      <c r="C10" s="7">
        <f>ROUNDUP($G$2*Parametres!$B$3^A10,0)</f>
        <v/>
      </c>
      <c r="D10" s="7">
        <f>ROUNDUP($I$2*Parametres!$B$3^A10,0)</f>
        <v/>
      </c>
      <c r="E10">
        <f>MIN(ROUND($K$2*Parametres!$B$4^A10,0),Parametres!$B$5)</f>
        <v/>
      </c>
      <c r="F10" s="8">
        <f>E10/86400</f>
        <v/>
      </c>
      <c r="G10" s="9">
        <f>$M$2*A10*Parametres!$B$6^A10</f>
        <v/>
      </c>
      <c r="H10" s="9">
        <f>$M$2*(A10+1)*Parametres!$B$6^(A10+1)-G10</f>
        <v/>
      </c>
      <c r="I10" s="10">
        <f>IF(H10&gt;0,B10/H10/60,"-")</f>
        <v/>
      </c>
      <c r="J10" s="7">
        <f>SUM($B$5:B10)</f>
        <v/>
      </c>
      <c r="K10" s="8">
        <f>SUM($E$5:E10)/86400</f>
        <v/>
      </c>
      <c r="L10" s="7">
        <f>G10*Parametres!$B$11*(1+Parametres!$B$12*(A10-1))</f>
        <v/>
      </c>
    </row>
    <row r="11">
      <c r="A11" t="n">
        <v>7</v>
      </c>
      <c r="B11" s="7">
        <f>ROUNDUP($E$2*Parametres!$B$3^A11,0)</f>
        <v/>
      </c>
      <c r="C11" s="7">
        <f>ROUNDUP($G$2*Parametres!$B$3^A11,0)</f>
        <v/>
      </c>
      <c r="D11" s="7">
        <f>ROUNDUP($I$2*Parametres!$B$3^A11,0)</f>
        <v/>
      </c>
      <c r="E11">
        <f>MIN(ROUND($K$2*Parametres!$B$4^A11,0),Parametres!$B$5)</f>
        <v/>
      </c>
      <c r="F11" s="8">
        <f>E11/86400</f>
        <v/>
      </c>
      <c r="G11" s="9">
        <f>$M$2*A11*Parametres!$B$6^A11</f>
        <v/>
      </c>
      <c r="H11" s="9">
        <f>$M$2*(A11+1)*Parametres!$B$6^(A11+1)-G11</f>
        <v/>
      </c>
      <c r="I11" s="10">
        <f>IF(H11&gt;0,B11/H11/60,"-")</f>
        <v/>
      </c>
      <c r="J11" s="7">
        <f>SUM($B$5:B11)</f>
        <v/>
      </c>
      <c r="K11" s="8">
        <f>SUM($E$5:E11)/86400</f>
        <v/>
      </c>
      <c r="L11" s="7">
        <f>G11*Parametres!$B$11*(1+Parametres!$B$12*(A11-1))</f>
        <v/>
      </c>
    </row>
    <row r="12">
      <c r="A12" t="n">
        <v>8</v>
      </c>
      <c r="B12" s="7">
        <f>ROUNDUP($E$2*Parametres!$B$3^A12,0)</f>
        <v/>
      </c>
      <c r="C12" s="7">
        <f>ROUNDUP($G$2*Parametres!$B$3^A12,0)</f>
        <v/>
      </c>
      <c r="D12" s="7">
        <f>ROUNDUP($I$2*Parametres!$B$3^A12,0)</f>
        <v/>
      </c>
      <c r="E12">
        <f>MIN(ROUND($K$2*Parametres!$B$4^A12,0),Parametres!$B$5)</f>
        <v/>
      </c>
      <c r="F12" s="8">
        <f>E12/86400</f>
        <v/>
      </c>
      <c r="G12" s="9">
        <f>$M$2*A12*Parametres!$B$6^A12</f>
        <v/>
      </c>
      <c r="H12" s="9">
        <f>$M$2*(A12+1)*Parametres!$B$6^(A12+1)-G12</f>
        <v/>
      </c>
      <c r="I12" s="10">
        <f>IF(H12&gt;0,B12/H12/60,"-")</f>
        <v/>
      </c>
      <c r="J12" s="7">
        <f>SUM($B$5:B12)</f>
        <v/>
      </c>
      <c r="K12" s="8">
        <f>SUM($E$5:E12)/86400</f>
        <v/>
      </c>
      <c r="L12" s="7">
        <f>G12*Parametres!$B$11*(1+Parametres!$B$12*(A12-1))</f>
        <v/>
      </c>
    </row>
    <row r="13">
      <c r="A13" t="n">
        <v>9</v>
      </c>
      <c r="B13" s="7">
        <f>ROUNDUP($E$2*Parametres!$B$3^A13,0)</f>
        <v/>
      </c>
      <c r="C13" s="7">
        <f>ROUNDUP($G$2*Parametres!$B$3^A13,0)</f>
        <v/>
      </c>
      <c r="D13" s="7">
        <f>ROUNDUP($I$2*Parametres!$B$3^A13,0)</f>
        <v/>
      </c>
      <c r="E13">
        <f>MIN(ROUND($K$2*Parametres!$B$4^A13,0),Parametres!$B$5)</f>
        <v/>
      </c>
      <c r="F13" s="8">
        <f>E13/86400</f>
        <v/>
      </c>
      <c r="G13" s="9">
        <f>$M$2*A13*Parametres!$B$6^A13</f>
        <v/>
      </c>
      <c r="H13" s="9">
        <f>$M$2*(A13+1)*Parametres!$B$6^(A13+1)-G13</f>
        <v/>
      </c>
      <c r="I13" s="10">
        <f>IF(H13&gt;0,B13/H13/60,"-")</f>
        <v/>
      </c>
      <c r="J13" s="7">
        <f>SUM($B$5:B13)</f>
        <v/>
      </c>
      <c r="K13" s="8">
        <f>SUM($E$5:E13)/86400</f>
        <v/>
      </c>
      <c r="L13" s="7">
        <f>G13*Parametres!$B$11*(1+Parametres!$B$12*(A13-1))</f>
        <v/>
      </c>
    </row>
    <row r="14">
      <c r="A14" t="n">
        <v>10</v>
      </c>
      <c r="B14" s="7">
        <f>ROUNDUP($E$2*Parametres!$B$3^A14,0)</f>
        <v/>
      </c>
      <c r="C14" s="7">
        <f>ROUNDUP($G$2*Parametres!$B$3^A14,0)</f>
        <v/>
      </c>
      <c r="D14" s="7">
        <f>ROUNDUP($I$2*Parametres!$B$3^A14,0)</f>
        <v/>
      </c>
      <c r="E14">
        <f>MIN(ROUND($K$2*Parametres!$B$4^A14,0),Parametres!$B$5)</f>
        <v/>
      </c>
      <c r="F14" s="8">
        <f>E14/86400</f>
        <v/>
      </c>
      <c r="G14" s="9">
        <f>$M$2*A14*Parametres!$B$6^A14</f>
        <v/>
      </c>
      <c r="H14" s="9">
        <f>$M$2*(A14+1)*Parametres!$B$6^(A14+1)-G14</f>
        <v/>
      </c>
      <c r="I14" s="10">
        <f>IF(H14&gt;0,B14/H14/60,"-")</f>
        <v/>
      </c>
      <c r="J14" s="7">
        <f>SUM($B$5:B14)</f>
        <v/>
      </c>
      <c r="K14" s="8">
        <f>SUM($E$5:E14)/86400</f>
        <v/>
      </c>
      <c r="L14" s="7">
        <f>G14*Parametres!$B$11*(1+Parametres!$B$12*(A14-1))</f>
        <v/>
      </c>
    </row>
    <row r="15">
      <c r="A15" t="n">
        <v>11</v>
      </c>
      <c r="B15" s="7">
        <f>ROUNDUP($E$2*Parametres!$B$3^A15,0)</f>
        <v/>
      </c>
      <c r="C15" s="7">
        <f>ROUNDUP($G$2*Parametres!$B$3^A15,0)</f>
        <v/>
      </c>
      <c r="D15" s="7">
        <f>ROUNDUP($I$2*Parametres!$B$3^A15,0)</f>
        <v/>
      </c>
      <c r="E15">
        <f>MIN(ROUND($K$2*Parametres!$B$4^A15,0),Parametres!$B$5)</f>
        <v/>
      </c>
      <c r="F15" s="8">
        <f>E15/86400</f>
        <v/>
      </c>
      <c r="G15" s="9">
        <f>$M$2*A15*Parametres!$B$6^A15</f>
        <v/>
      </c>
      <c r="H15" s="9">
        <f>$M$2*(A15+1)*Parametres!$B$6^(A15+1)-G15</f>
        <v/>
      </c>
      <c r="I15" s="10">
        <f>IF(H15&gt;0,B15/H15/60,"-")</f>
        <v/>
      </c>
      <c r="J15" s="7">
        <f>SUM($B$5:B15)</f>
        <v/>
      </c>
      <c r="K15" s="8">
        <f>SUM($E$5:E15)/86400</f>
        <v/>
      </c>
      <c r="L15" s="7">
        <f>G15*Parametres!$B$11*(1+Parametres!$B$12*(A15-1))</f>
        <v/>
      </c>
    </row>
    <row r="16">
      <c r="A16" t="n">
        <v>12</v>
      </c>
      <c r="B16" s="7">
        <f>ROUNDUP($E$2*Parametres!$B$3^A16,0)</f>
        <v/>
      </c>
      <c r="C16" s="7">
        <f>ROUNDUP($G$2*Parametres!$B$3^A16,0)</f>
        <v/>
      </c>
      <c r="D16" s="7">
        <f>ROUNDUP($I$2*Parametres!$B$3^A16,0)</f>
        <v/>
      </c>
      <c r="E16">
        <f>MIN(ROUND($K$2*Parametres!$B$4^A16,0),Parametres!$B$5)</f>
        <v/>
      </c>
      <c r="F16" s="8">
        <f>E16/86400</f>
        <v/>
      </c>
      <c r="G16" s="9">
        <f>$M$2*A16*Parametres!$B$6^A16</f>
        <v/>
      </c>
      <c r="H16" s="9">
        <f>$M$2*(A16+1)*Parametres!$B$6^(A16+1)-G16</f>
        <v/>
      </c>
      <c r="I16" s="10">
        <f>IF(H16&gt;0,B16/H16/60,"-")</f>
        <v/>
      </c>
      <c r="J16" s="7">
        <f>SUM($B$5:B16)</f>
        <v/>
      </c>
      <c r="K16" s="8">
        <f>SUM($E$5:E16)/86400</f>
        <v/>
      </c>
      <c r="L16" s="7">
        <f>G16*Parametres!$B$11*(1+Parametres!$B$12*(A16-1))</f>
        <v/>
      </c>
    </row>
    <row r="17">
      <c r="A17" t="n">
        <v>13</v>
      </c>
      <c r="B17" s="7">
        <f>ROUNDUP($E$2*Parametres!$B$3^A17,0)</f>
        <v/>
      </c>
      <c r="C17" s="7">
        <f>ROUNDUP($G$2*Parametres!$B$3^A17,0)</f>
        <v/>
      </c>
      <c r="D17" s="7">
        <f>ROUNDUP($I$2*Parametres!$B$3^A17,0)</f>
        <v/>
      </c>
      <c r="E17">
        <f>MIN(ROUND($K$2*Parametres!$B$4^A17,0),Parametres!$B$5)</f>
        <v/>
      </c>
      <c r="F17" s="8">
        <f>E17/86400</f>
        <v/>
      </c>
      <c r="G17" s="9">
        <f>$M$2*A17*Parametres!$B$6^A17</f>
        <v/>
      </c>
      <c r="H17" s="9">
        <f>$M$2*(A17+1)*Parametres!$B$6^(A17+1)-G17</f>
        <v/>
      </c>
      <c r="I17" s="10">
        <f>IF(H17&gt;0,B17/H17/60,"-")</f>
        <v/>
      </c>
      <c r="J17" s="7">
        <f>SUM($B$5:B17)</f>
        <v/>
      </c>
      <c r="K17" s="8">
        <f>SUM($E$5:E17)/86400</f>
        <v/>
      </c>
      <c r="L17" s="7">
        <f>G17*Parametres!$B$11*(1+Parametres!$B$12*(A17-1))</f>
        <v/>
      </c>
    </row>
    <row r="18">
      <c r="A18" t="n">
        <v>14</v>
      </c>
      <c r="B18" s="7">
        <f>ROUNDUP($E$2*Parametres!$B$3^A18,0)</f>
        <v/>
      </c>
      <c r="C18" s="7">
        <f>ROUNDUP($G$2*Parametres!$B$3^A18,0)</f>
        <v/>
      </c>
      <c r="D18" s="7">
        <f>ROUNDUP($I$2*Parametres!$B$3^A18,0)</f>
        <v/>
      </c>
      <c r="E18">
        <f>MIN(ROUND($K$2*Parametres!$B$4^A18,0),Parametres!$B$5)</f>
        <v/>
      </c>
      <c r="F18" s="8">
        <f>E18/86400</f>
        <v/>
      </c>
      <c r="G18" s="9">
        <f>$M$2*A18*Parametres!$B$6^A18</f>
        <v/>
      </c>
      <c r="H18" s="9">
        <f>$M$2*(A18+1)*Parametres!$B$6^(A18+1)-G18</f>
        <v/>
      </c>
      <c r="I18" s="10">
        <f>IF(H18&gt;0,B18/H18/60,"-")</f>
        <v/>
      </c>
      <c r="J18" s="7">
        <f>SUM($B$5:B18)</f>
        <v/>
      </c>
      <c r="K18" s="8">
        <f>SUM($E$5:E18)/86400</f>
        <v/>
      </c>
      <c r="L18" s="7">
        <f>G18*Parametres!$B$11*(1+Parametres!$B$12*(A18-1))</f>
        <v/>
      </c>
    </row>
    <row r="19">
      <c r="A19" t="n">
        <v>15</v>
      </c>
      <c r="B19" s="7">
        <f>ROUNDUP($E$2*Parametres!$B$3^A19,0)</f>
        <v/>
      </c>
      <c r="C19" s="7">
        <f>ROUNDUP($G$2*Parametres!$B$3^A19,0)</f>
        <v/>
      </c>
      <c r="D19" s="7">
        <f>ROUNDUP($I$2*Parametres!$B$3^A19,0)</f>
        <v/>
      </c>
      <c r="E19">
        <f>MIN(ROUND($K$2*Parametres!$B$4^A19,0),Parametres!$B$5)</f>
        <v/>
      </c>
      <c r="F19" s="8">
        <f>E19/86400</f>
        <v/>
      </c>
      <c r="G19" s="9">
        <f>$M$2*A19*Parametres!$B$6^A19</f>
        <v/>
      </c>
      <c r="H19" s="9">
        <f>$M$2*(A19+1)*Parametres!$B$6^(A19+1)-G19</f>
        <v/>
      </c>
      <c r="I19" s="10">
        <f>IF(H19&gt;0,B19/H19/60,"-")</f>
        <v/>
      </c>
      <c r="J19" s="7">
        <f>SUM($B$5:B19)</f>
        <v/>
      </c>
      <c r="K19" s="8">
        <f>SUM($E$5:E19)/86400</f>
        <v/>
      </c>
      <c r="L19" s="7">
        <f>G19*Parametres!$B$11*(1+Parametres!$B$12*(A19-1))</f>
        <v/>
      </c>
    </row>
    <row r="20">
      <c r="A20" t="n">
        <v>16</v>
      </c>
      <c r="B20" s="7">
        <f>ROUNDUP($E$2*Parametres!$B$3^A20,0)</f>
        <v/>
      </c>
      <c r="C20" s="7">
        <f>ROUNDUP($G$2*Parametres!$B$3^A20,0)</f>
        <v/>
      </c>
      <c r="D20" s="7">
        <f>ROUNDUP($I$2*Parametres!$B$3^A20,0)</f>
        <v/>
      </c>
      <c r="E20">
        <f>MIN(ROUND($K$2*Parametres!$B$4^A20,0),Parametres!$B$5)</f>
        <v/>
      </c>
      <c r="F20" s="8">
        <f>E20/86400</f>
        <v/>
      </c>
      <c r="G20" s="9">
        <f>$M$2*A20*Parametres!$B$6^A20</f>
        <v/>
      </c>
      <c r="H20" s="9">
        <f>$M$2*(A20+1)*Parametres!$B$6^(A20+1)-G20</f>
        <v/>
      </c>
      <c r="I20" s="10">
        <f>IF(H20&gt;0,B20/H20/60,"-")</f>
        <v/>
      </c>
      <c r="J20" s="7">
        <f>SUM($B$5:B20)</f>
        <v/>
      </c>
      <c r="K20" s="8">
        <f>SUM($E$5:E20)/86400</f>
        <v/>
      </c>
      <c r="L20" s="7">
        <f>G20*Parametres!$B$11*(1+Parametres!$B$12*(A20-1))</f>
        <v/>
      </c>
    </row>
    <row r="21">
      <c r="A21" t="n">
        <v>17</v>
      </c>
      <c r="B21" s="7">
        <f>ROUNDUP($E$2*Parametres!$B$3^A21,0)</f>
        <v/>
      </c>
      <c r="C21" s="7">
        <f>ROUNDUP($G$2*Parametres!$B$3^A21,0)</f>
        <v/>
      </c>
      <c r="D21" s="7">
        <f>ROUNDUP($I$2*Parametres!$B$3^A21,0)</f>
        <v/>
      </c>
      <c r="E21">
        <f>MIN(ROUND($K$2*Parametres!$B$4^A21,0),Parametres!$B$5)</f>
        <v/>
      </c>
      <c r="F21" s="8">
        <f>E21/86400</f>
        <v/>
      </c>
      <c r="G21" s="9">
        <f>$M$2*A21*Parametres!$B$6^A21</f>
        <v/>
      </c>
      <c r="H21" s="9">
        <f>$M$2*(A21+1)*Parametres!$B$6^(A21+1)-G21</f>
        <v/>
      </c>
      <c r="I21" s="10">
        <f>IF(H21&gt;0,B21/H21/60,"-")</f>
        <v/>
      </c>
      <c r="J21" s="7">
        <f>SUM($B$5:B21)</f>
        <v/>
      </c>
      <c r="K21" s="8">
        <f>SUM($E$5:E21)/86400</f>
        <v/>
      </c>
      <c r="L21" s="7">
        <f>G21*Parametres!$B$11*(1+Parametres!$B$12*(A21-1))</f>
        <v/>
      </c>
    </row>
    <row r="22">
      <c r="A22" t="n">
        <v>18</v>
      </c>
      <c r="B22" s="7">
        <f>ROUNDUP($E$2*Parametres!$B$3^A22,0)</f>
        <v/>
      </c>
      <c r="C22" s="7">
        <f>ROUNDUP($G$2*Parametres!$B$3^A22,0)</f>
        <v/>
      </c>
      <c r="D22" s="7">
        <f>ROUNDUP($I$2*Parametres!$B$3^A22,0)</f>
        <v/>
      </c>
      <c r="E22">
        <f>MIN(ROUND($K$2*Parametres!$B$4^A22,0),Parametres!$B$5)</f>
        <v/>
      </c>
      <c r="F22" s="8">
        <f>E22/86400</f>
        <v/>
      </c>
      <c r="G22" s="9">
        <f>$M$2*A22*Parametres!$B$6^A22</f>
        <v/>
      </c>
      <c r="H22" s="9">
        <f>$M$2*(A22+1)*Parametres!$B$6^(A22+1)-G22</f>
        <v/>
      </c>
      <c r="I22" s="10">
        <f>IF(H22&gt;0,B22/H22/60,"-")</f>
        <v/>
      </c>
      <c r="J22" s="7">
        <f>SUM($B$5:B22)</f>
        <v/>
      </c>
      <c r="K22" s="8">
        <f>SUM($E$5:E22)/86400</f>
        <v/>
      </c>
      <c r="L22" s="7">
        <f>G22*Parametres!$B$11*(1+Parametres!$B$12*(A22-1))</f>
        <v/>
      </c>
    </row>
    <row r="23">
      <c r="A23" t="n">
        <v>19</v>
      </c>
      <c r="B23" s="7">
        <f>ROUNDUP($E$2*Parametres!$B$3^A23,0)</f>
        <v/>
      </c>
      <c r="C23" s="7">
        <f>ROUNDUP($G$2*Parametres!$B$3^A23,0)</f>
        <v/>
      </c>
      <c r="D23" s="7">
        <f>ROUNDUP($I$2*Parametres!$B$3^A23,0)</f>
        <v/>
      </c>
      <c r="E23">
        <f>MIN(ROUND($K$2*Parametres!$B$4^A23,0),Parametres!$B$5)</f>
        <v/>
      </c>
      <c r="F23" s="8">
        <f>E23/86400</f>
        <v/>
      </c>
      <c r="G23" s="9">
        <f>$M$2*A23*Parametres!$B$6^A23</f>
        <v/>
      </c>
      <c r="H23" s="9">
        <f>$M$2*(A23+1)*Parametres!$B$6^(A23+1)-G23</f>
        <v/>
      </c>
      <c r="I23" s="10">
        <f>IF(H23&gt;0,B23/H23/60,"-")</f>
        <v/>
      </c>
      <c r="J23" s="7">
        <f>SUM($B$5:B23)</f>
        <v/>
      </c>
      <c r="K23" s="8">
        <f>SUM($E$5:E23)/86400</f>
        <v/>
      </c>
      <c r="L23" s="7">
        <f>G23*Parametres!$B$11*(1+Parametres!$B$12*(A23-1))</f>
        <v/>
      </c>
    </row>
    <row r="24">
      <c r="A24" t="n">
        <v>20</v>
      </c>
      <c r="B24" s="7">
        <f>ROUNDUP($E$2*Parametres!$B$3^A24,0)</f>
        <v/>
      </c>
      <c r="C24" s="7">
        <f>ROUNDUP($G$2*Parametres!$B$3^A24,0)</f>
        <v/>
      </c>
      <c r="D24" s="7">
        <f>ROUNDUP($I$2*Parametres!$B$3^A24,0)</f>
        <v/>
      </c>
      <c r="E24">
        <f>MIN(ROUND($K$2*Parametres!$B$4^A24,0),Parametres!$B$5)</f>
        <v/>
      </c>
      <c r="F24" s="8">
        <f>E24/86400</f>
        <v/>
      </c>
      <c r="G24" s="9">
        <f>$M$2*A24*Parametres!$B$6^A24</f>
        <v/>
      </c>
      <c r="H24" s="9">
        <f>$M$2*(A24+1)*Parametres!$B$6^(A24+1)-G24</f>
        <v/>
      </c>
      <c r="I24" s="10">
        <f>IF(H24&gt;0,B24/H24/60,"-")</f>
        <v/>
      </c>
      <c r="J24" s="7">
        <f>SUM($B$5:B24)</f>
        <v/>
      </c>
      <c r="K24" s="8">
        <f>SUM($E$5:E24)/86400</f>
        <v/>
      </c>
      <c r="L24" s="7">
        <f>G24*Parametres!$B$11*(1+Parametres!$B$12*(A24-1))</f>
        <v/>
      </c>
    </row>
    <row r="25">
      <c r="A25" t="n">
        <v>21</v>
      </c>
      <c r="B25" s="7">
        <f>ROUNDUP($E$2*Parametres!$B$3^A25,0)</f>
        <v/>
      </c>
      <c r="C25" s="7">
        <f>ROUNDUP($G$2*Parametres!$B$3^A25,0)</f>
        <v/>
      </c>
      <c r="D25" s="7">
        <f>ROUNDUP($I$2*Parametres!$B$3^A25,0)</f>
        <v/>
      </c>
      <c r="E25">
        <f>MIN(ROUND($K$2*Parametres!$B$4^A25,0),Parametres!$B$5)</f>
        <v/>
      </c>
      <c r="F25" s="8">
        <f>E25/86400</f>
        <v/>
      </c>
      <c r="G25" s="9">
        <f>$M$2*A25*Parametres!$B$6^A25</f>
        <v/>
      </c>
      <c r="H25" s="9">
        <f>$M$2*(A25+1)*Parametres!$B$6^(A25+1)-G25</f>
        <v/>
      </c>
      <c r="I25" s="10">
        <f>IF(H25&gt;0,B25/H25/60,"-")</f>
        <v/>
      </c>
      <c r="J25" s="7">
        <f>SUM($B$5:B25)</f>
        <v/>
      </c>
      <c r="K25" s="8">
        <f>SUM($E$5:E25)/86400</f>
        <v/>
      </c>
      <c r="L25" s="7">
        <f>G25*Parametres!$B$11*(1+Parametres!$B$12*(A25-1))</f>
        <v/>
      </c>
    </row>
    <row r="26">
      <c r="A26" t="n">
        <v>22</v>
      </c>
      <c r="B26" s="7">
        <f>ROUNDUP($E$2*Parametres!$B$3^A26,0)</f>
        <v/>
      </c>
      <c r="C26" s="7">
        <f>ROUNDUP($G$2*Parametres!$B$3^A26,0)</f>
        <v/>
      </c>
      <c r="D26" s="7">
        <f>ROUNDUP($I$2*Parametres!$B$3^A26,0)</f>
        <v/>
      </c>
      <c r="E26">
        <f>MIN(ROUND($K$2*Parametres!$B$4^A26,0),Parametres!$B$5)</f>
        <v/>
      </c>
      <c r="F26" s="8">
        <f>E26/86400</f>
        <v/>
      </c>
      <c r="G26" s="9">
        <f>$M$2*A26*Parametres!$B$6^A26</f>
        <v/>
      </c>
      <c r="H26" s="9">
        <f>$M$2*(A26+1)*Parametres!$B$6^(A26+1)-G26</f>
        <v/>
      </c>
      <c r="I26" s="10">
        <f>IF(H26&gt;0,B26/H26/60,"-")</f>
        <v/>
      </c>
      <c r="J26" s="7">
        <f>SUM($B$5:B26)</f>
        <v/>
      </c>
      <c r="K26" s="8">
        <f>SUM($E$5:E26)/86400</f>
        <v/>
      </c>
      <c r="L26" s="7">
        <f>G26*Parametres!$B$11*(1+Parametres!$B$12*(A26-1))</f>
        <v/>
      </c>
    </row>
    <row r="27">
      <c r="A27" t="n">
        <v>23</v>
      </c>
      <c r="B27" s="7">
        <f>ROUNDUP($E$2*Parametres!$B$3^A27,0)</f>
        <v/>
      </c>
      <c r="C27" s="7">
        <f>ROUNDUP($G$2*Parametres!$B$3^A27,0)</f>
        <v/>
      </c>
      <c r="D27" s="7">
        <f>ROUNDUP($I$2*Parametres!$B$3^A27,0)</f>
        <v/>
      </c>
      <c r="E27">
        <f>MIN(ROUND($K$2*Parametres!$B$4^A27,0),Parametres!$B$5)</f>
        <v/>
      </c>
      <c r="F27" s="8">
        <f>E27/86400</f>
        <v/>
      </c>
      <c r="G27" s="9">
        <f>$M$2*A27*Parametres!$B$6^A27</f>
        <v/>
      </c>
      <c r="H27" s="9">
        <f>$M$2*(A27+1)*Parametres!$B$6^(A27+1)-G27</f>
        <v/>
      </c>
      <c r="I27" s="10">
        <f>IF(H27&gt;0,B27/H27/60,"-")</f>
        <v/>
      </c>
      <c r="J27" s="7">
        <f>SUM($B$5:B27)</f>
        <v/>
      </c>
      <c r="K27" s="8">
        <f>SUM($E$5:E27)/86400</f>
        <v/>
      </c>
      <c r="L27" s="7">
        <f>G27*Parametres!$B$11*(1+Parametres!$B$12*(A27-1))</f>
        <v/>
      </c>
    </row>
    <row r="28">
      <c r="A28" t="n">
        <v>24</v>
      </c>
      <c r="B28" s="7">
        <f>ROUNDUP($E$2*Parametres!$B$3^A28,0)</f>
        <v/>
      </c>
      <c r="C28" s="7">
        <f>ROUNDUP($G$2*Parametres!$B$3^A28,0)</f>
        <v/>
      </c>
      <c r="D28" s="7">
        <f>ROUNDUP($I$2*Parametres!$B$3^A28,0)</f>
        <v/>
      </c>
      <c r="E28">
        <f>MIN(ROUND($K$2*Parametres!$B$4^A28,0),Parametres!$B$5)</f>
        <v/>
      </c>
      <c r="F28" s="8">
        <f>E28/86400</f>
        <v/>
      </c>
      <c r="G28" s="9">
        <f>$M$2*A28*Parametres!$B$6^A28</f>
        <v/>
      </c>
      <c r="H28" s="9">
        <f>$M$2*(A28+1)*Parametres!$B$6^(A28+1)-G28</f>
        <v/>
      </c>
      <c r="I28" s="10">
        <f>IF(H28&gt;0,B28/H28/60,"-")</f>
        <v/>
      </c>
      <c r="J28" s="7">
        <f>SUM($B$5:B28)</f>
        <v/>
      </c>
      <c r="K28" s="8">
        <f>SUM($E$5:E28)/86400</f>
        <v/>
      </c>
      <c r="L28" s="7">
        <f>G28*Parametres!$B$11*(1+Parametres!$B$12*(A28-1))</f>
        <v/>
      </c>
    </row>
    <row r="29">
      <c r="A29" t="n">
        <v>25</v>
      </c>
      <c r="B29" s="7">
        <f>ROUNDUP($E$2*Parametres!$B$3^A29,0)</f>
        <v/>
      </c>
      <c r="C29" s="7">
        <f>ROUNDUP($G$2*Parametres!$B$3^A29,0)</f>
        <v/>
      </c>
      <c r="D29" s="7">
        <f>ROUNDUP($I$2*Parametres!$B$3^A29,0)</f>
        <v/>
      </c>
      <c r="E29">
        <f>MIN(ROUND($K$2*Parametres!$B$4^A29,0),Parametres!$B$5)</f>
        <v/>
      </c>
      <c r="F29" s="8">
        <f>E29/86400</f>
        <v/>
      </c>
      <c r="G29" s="9">
        <f>$M$2*A29*Parametres!$B$6^A29</f>
        <v/>
      </c>
      <c r="H29" s="9">
        <f>$M$2*(A29+1)*Parametres!$B$6^(A29+1)-G29</f>
        <v/>
      </c>
      <c r="I29" s="10">
        <f>IF(H29&gt;0,B29/H29/60,"-")</f>
        <v/>
      </c>
      <c r="J29" s="7">
        <f>SUM($B$5:B29)</f>
        <v/>
      </c>
      <c r="K29" s="8">
        <f>SUM($E$5:E29)/86400</f>
        <v/>
      </c>
      <c r="L29" s="7">
        <f>G29*Parametres!$B$11*(1+Parametres!$B$12*(A29-1))</f>
        <v/>
      </c>
    </row>
    <row r="31">
      <c r="A31" t="inlineStr">
        <is>
          <t>Rentabilité = minutes de production nécessaires pour rembourser l'amélioration en or. Si elle explose trop vite → le joueur décroche ; trop lente → jeu fini trop vite.</t>
        </is>
      </c>
    </row>
  </sheetData>
  <conditionalFormatting sqref="I5:I29">
    <cfRule type="colorScale" priority="1">
      <colorScale>
        <cfvo type="min"/>
        <cfvo type="max"/>
        <color rgb="00C6EFCE"/>
        <color rgb="00FFC7CE"/>
      </colorScale>
    </cfRule>
  </conditionalFormatting>
  <dataValidations count="1">
    <dataValidation sqref="B1" showDropDown="0" showInputMessage="0" showErrorMessage="0" allowBlank="0" type="list">
      <formula1>=Batiments!$A$2:$A$11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Nb déjà possédés</t>
        </is>
      </c>
      <c r="B1" s="1" t="inlineStr">
        <is>
          <t>Mairie</t>
        </is>
      </c>
      <c r="C1" s="1" t="inlineStr">
        <is>
          <t>Maison</t>
        </is>
      </c>
      <c r="D1" s="1" t="inlineStr">
        <is>
          <t>Scierie</t>
        </is>
      </c>
      <c r="E1" s="1" t="inlineStr">
        <is>
          <t>Carrière</t>
        </is>
      </c>
      <c r="F1" s="1" t="inlineStr">
        <is>
          <t>École</t>
        </is>
      </c>
      <c r="G1" s="1" t="inlineStr">
        <is>
          <t>Marché</t>
        </is>
      </c>
      <c r="H1" s="1" t="inlineStr">
        <is>
          <t>Entrepôt</t>
        </is>
      </c>
      <c r="I1" s="1" t="inlineStr">
        <is>
          <t>Bibliothèque</t>
        </is>
      </c>
      <c r="J1" s="1" t="inlineStr">
        <is>
          <t>Fontaine</t>
        </is>
      </c>
      <c r="K1" s="1" t="inlineStr">
        <is>
          <t>Monument</t>
        </is>
      </c>
    </row>
    <row r="2">
      <c r="A2" t="n">
        <v>0</v>
      </c>
      <c r="B2" s="7">
        <f>ROUNDUP(Batiments!$E$2*Parametres!$B$2^$A2,0)</f>
        <v/>
      </c>
      <c r="C2" s="7">
        <f>ROUNDUP(Batiments!$E$3*Parametres!$B$2^$A2,0)</f>
        <v/>
      </c>
      <c r="D2" s="7">
        <f>ROUNDUP(Batiments!$E$4*Parametres!$B$2^$A2,0)</f>
        <v/>
      </c>
      <c r="E2" s="7">
        <f>ROUNDUP(Batiments!$E$5*Parametres!$B$2^$A2,0)</f>
        <v/>
      </c>
      <c r="F2" s="7">
        <f>ROUNDUP(Batiments!$E$6*Parametres!$B$2^$A2,0)</f>
        <v/>
      </c>
      <c r="G2" s="7">
        <f>ROUNDUP(Batiments!$E$7*Parametres!$B$2^$A2,0)</f>
        <v/>
      </c>
      <c r="H2" s="7">
        <f>ROUNDUP(Batiments!$E$8*Parametres!$B$2^$A2,0)</f>
        <v/>
      </c>
      <c r="I2" s="7">
        <f>ROUNDUP(Batiments!$E$9*Parametres!$B$2^$A2,0)</f>
        <v/>
      </c>
      <c r="J2" s="7">
        <f>ROUNDUP(Batiments!$E$10*Parametres!$B$2^$A2,0)</f>
        <v/>
      </c>
      <c r="K2" s="7">
        <f>ROUNDUP(Batiments!$E$11*Parametres!$B$2^$A2,0)</f>
        <v/>
      </c>
    </row>
    <row r="3">
      <c r="A3" t="n">
        <v>1</v>
      </c>
      <c r="B3" s="7">
        <f>ROUNDUP(Batiments!$E$2*Parametres!$B$2^$A3,0)</f>
        <v/>
      </c>
      <c r="C3" s="7">
        <f>ROUNDUP(Batiments!$E$3*Parametres!$B$2^$A3,0)</f>
        <v/>
      </c>
      <c r="D3" s="7">
        <f>ROUNDUP(Batiments!$E$4*Parametres!$B$2^$A3,0)</f>
        <v/>
      </c>
      <c r="E3" s="7">
        <f>ROUNDUP(Batiments!$E$5*Parametres!$B$2^$A3,0)</f>
        <v/>
      </c>
      <c r="F3" s="7">
        <f>ROUNDUP(Batiments!$E$6*Parametres!$B$2^$A3,0)</f>
        <v/>
      </c>
      <c r="G3" s="7">
        <f>ROUNDUP(Batiments!$E$7*Parametres!$B$2^$A3,0)</f>
        <v/>
      </c>
      <c r="H3" s="7">
        <f>ROUNDUP(Batiments!$E$8*Parametres!$B$2^$A3,0)</f>
        <v/>
      </c>
      <c r="I3" s="7">
        <f>ROUNDUP(Batiments!$E$9*Parametres!$B$2^$A3,0)</f>
        <v/>
      </c>
      <c r="J3" s="7">
        <f>ROUNDUP(Batiments!$E$10*Parametres!$B$2^$A3,0)</f>
        <v/>
      </c>
      <c r="K3" s="7">
        <f>ROUNDUP(Batiments!$E$11*Parametres!$B$2^$A3,0)</f>
        <v/>
      </c>
    </row>
    <row r="4">
      <c r="A4" t="n">
        <v>2</v>
      </c>
      <c r="B4" s="7">
        <f>ROUNDUP(Batiments!$E$2*Parametres!$B$2^$A4,0)</f>
        <v/>
      </c>
      <c r="C4" s="7">
        <f>ROUNDUP(Batiments!$E$3*Parametres!$B$2^$A4,0)</f>
        <v/>
      </c>
      <c r="D4" s="7">
        <f>ROUNDUP(Batiments!$E$4*Parametres!$B$2^$A4,0)</f>
        <v/>
      </c>
      <c r="E4" s="7">
        <f>ROUNDUP(Batiments!$E$5*Parametres!$B$2^$A4,0)</f>
        <v/>
      </c>
      <c r="F4" s="7">
        <f>ROUNDUP(Batiments!$E$6*Parametres!$B$2^$A4,0)</f>
        <v/>
      </c>
      <c r="G4" s="7">
        <f>ROUNDUP(Batiments!$E$7*Parametres!$B$2^$A4,0)</f>
        <v/>
      </c>
      <c r="H4" s="7">
        <f>ROUNDUP(Batiments!$E$8*Parametres!$B$2^$A4,0)</f>
        <v/>
      </c>
      <c r="I4" s="7">
        <f>ROUNDUP(Batiments!$E$9*Parametres!$B$2^$A4,0)</f>
        <v/>
      </c>
      <c r="J4" s="7">
        <f>ROUNDUP(Batiments!$E$10*Parametres!$B$2^$A4,0)</f>
        <v/>
      </c>
      <c r="K4" s="7">
        <f>ROUNDUP(Batiments!$E$11*Parametres!$B$2^$A4,0)</f>
        <v/>
      </c>
    </row>
    <row r="5">
      <c r="A5" t="n">
        <v>3</v>
      </c>
      <c r="B5" s="7">
        <f>ROUNDUP(Batiments!$E$2*Parametres!$B$2^$A5,0)</f>
        <v/>
      </c>
      <c r="C5" s="7">
        <f>ROUNDUP(Batiments!$E$3*Parametres!$B$2^$A5,0)</f>
        <v/>
      </c>
      <c r="D5" s="7">
        <f>ROUNDUP(Batiments!$E$4*Parametres!$B$2^$A5,0)</f>
        <v/>
      </c>
      <c r="E5" s="7">
        <f>ROUNDUP(Batiments!$E$5*Parametres!$B$2^$A5,0)</f>
        <v/>
      </c>
      <c r="F5" s="7">
        <f>ROUNDUP(Batiments!$E$6*Parametres!$B$2^$A5,0)</f>
        <v/>
      </c>
      <c r="G5" s="7">
        <f>ROUNDUP(Batiments!$E$7*Parametres!$B$2^$A5,0)</f>
        <v/>
      </c>
      <c r="H5" s="7">
        <f>ROUNDUP(Batiments!$E$8*Parametres!$B$2^$A5,0)</f>
        <v/>
      </c>
      <c r="I5" s="7">
        <f>ROUNDUP(Batiments!$E$9*Parametres!$B$2^$A5,0)</f>
        <v/>
      </c>
      <c r="J5" s="7">
        <f>ROUNDUP(Batiments!$E$10*Parametres!$B$2^$A5,0)</f>
        <v/>
      </c>
      <c r="K5" s="7">
        <f>ROUNDUP(Batiments!$E$11*Parametres!$B$2^$A5,0)</f>
        <v/>
      </c>
    </row>
    <row r="6">
      <c r="A6" t="n">
        <v>4</v>
      </c>
      <c r="B6" s="7">
        <f>ROUNDUP(Batiments!$E$2*Parametres!$B$2^$A6,0)</f>
        <v/>
      </c>
      <c r="C6" s="7">
        <f>ROUNDUP(Batiments!$E$3*Parametres!$B$2^$A6,0)</f>
        <v/>
      </c>
      <c r="D6" s="7">
        <f>ROUNDUP(Batiments!$E$4*Parametres!$B$2^$A6,0)</f>
        <v/>
      </c>
      <c r="E6" s="7">
        <f>ROUNDUP(Batiments!$E$5*Parametres!$B$2^$A6,0)</f>
        <v/>
      </c>
      <c r="F6" s="7">
        <f>ROUNDUP(Batiments!$E$6*Parametres!$B$2^$A6,0)</f>
        <v/>
      </c>
      <c r="G6" s="7">
        <f>ROUNDUP(Batiments!$E$7*Parametres!$B$2^$A6,0)</f>
        <v/>
      </c>
      <c r="H6" s="7">
        <f>ROUNDUP(Batiments!$E$8*Parametres!$B$2^$A6,0)</f>
        <v/>
      </c>
      <c r="I6" s="7">
        <f>ROUNDUP(Batiments!$E$9*Parametres!$B$2^$A6,0)</f>
        <v/>
      </c>
      <c r="J6" s="7">
        <f>ROUNDUP(Batiments!$E$10*Parametres!$B$2^$A6,0)</f>
        <v/>
      </c>
      <c r="K6" s="7">
        <f>ROUNDUP(Batiments!$E$11*Parametres!$B$2^$A6,0)</f>
        <v/>
      </c>
    </row>
    <row r="7">
      <c r="A7" t="n">
        <v>5</v>
      </c>
      <c r="B7" s="7">
        <f>ROUNDUP(Batiments!$E$2*Parametres!$B$2^$A7,0)</f>
        <v/>
      </c>
      <c r="C7" s="7">
        <f>ROUNDUP(Batiments!$E$3*Parametres!$B$2^$A7,0)</f>
        <v/>
      </c>
      <c r="D7" s="7">
        <f>ROUNDUP(Batiments!$E$4*Parametres!$B$2^$A7,0)</f>
        <v/>
      </c>
      <c r="E7" s="7">
        <f>ROUNDUP(Batiments!$E$5*Parametres!$B$2^$A7,0)</f>
        <v/>
      </c>
      <c r="F7" s="7">
        <f>ROUNDUP(Batiments!$E$6*Parametres!$B$2^$A7,0)</f>
        <v/>
      </c>
      <c r="G7" s="7">
        <f>ROUNDUP(Batiments!$E$7*Parametres!$B$2^$A7,0)</f>
        <v/>
      </c>
      <c r="H7" s="7">
        <f>ROUNDUP(Batiments!$E$8*Parametres!$B$2^$A7,0)</f>
        <v/>
      </c>
      <c r="I7" s="7">
        <f>ROUNDUP(Batiments!$E$9*Parametres!$B$2^$A7,0)</f>
        <v/>
      </c>
      <c r="J7" s="7">
        <f>ROUNDUP(Batiments!$E$10*Parametres!$B$2^$A7,0)</f>
        <v/>
      </c>
      <c r="K7" s="7">
        <f>ROUNDUP(Batiments!$E$11*Parametres!$B$2^$A7,0)</f>
        <v/>
      </c>
    </row>
    <row r="8">
      <c r="A8" t="n">
        <v>6</v>
      </c>
      <c r="B8" s="7">
        <f>ROUNDUP(Batiments!$E$2*Parametres!$B$2^$A8,0)</f>
        <v/>
      </c>
      <c r="C8" s="7">
        <f>ROUNDUP(Batiments!$E$3*Parametres!$B$2^$A8,0)</f>
        <v/>
      </c>
      <c r="D8" s="7">
        <f>ROUNDUP(Batiments!$E$4*Parametres!$B$2^$A8,0)</f>
        <v/>
      </c>
      <c r="E8" s="7">
        <f>ROUNDUP(Batiments!$E$5*Parametres!$B$2^$A8,0)</f>
        <v/>
      </c>
      <c r="F8" s="7">
        <f>ROUNDUP(Batiments!$E$6*Parametres!$B$2^$A8,0)</f>
        <v/>
      </c>
      <c r="G8" s="7">
        <f>ROUNDUP(Batiments!$E$7*Parametres!$B$2^$A8,0)</f>
        <v/>
      </c>
      <c r="H8" s="7">
        <f>ROUNDUP(Batiments!$E$8*Parametres!$B$2^$A8,0)</f>
        <v/>
      </c>
      <c r="I8" s="7">
        <f>ROUNDUP(Batiments!$E$9*Parametres!$B$2^$A8,0)</f>
        <v/>
      </c>
      <c r="J8" s="7">
        <f>ROUNDUP(Batiments!$E$10*Parametres!$B$2^$A8,0)</f>
        <v/>
      </c>
      <c r="K8" s="7">
        <f>ROUNDUP(Batiments!$E$11*Parametres!$B$2^$A8,0)</f>
        <v/>
      </c>
    </row>
    <row r="9">
      <c r="A9" t="n">
        <v>7</v>
      </c>
      <c r="B9" s="7">
        <f>ROUNDUP(Batiments!$E$2*Parametres!$B$2^$A9,0)</f>
        <v/>
      </c>
      <c r="C9" s="7">
        <f>ROUNDUP(Batiments!$E$3*Parametres!$B$2^$A9,0)</f>
        <v/>
      </c>
      <c r="D9" s="7">
        <f>ROUNDUP(Batiments!$E$4*Parametres!$B$2^$A9,0)</f>
        <v/>
      </c>
      <c r="E9" s="7">
        <f>ROUNDUP(Batiments!$E$5*Parametres!$B$2^$A9,0)</f>
        <v/>
      </c>
      <c r="F9" s="7">
        <f>ROUNDUP(Batiments!$E$6*Parametres!$B$2^$A9,0)</f>
        <v/>
      </c>
      <c r="G9" s="7">
        <f>ROUNDUP(Batiments!$E$7*Parametres!$B$2^$A9,0)</f>
        <v/>
      </c>
      <c r="H9" s="7">
        <f>ROUNDUP(Batiments!$E$8*Parametres!$B$2^$A9,0)</f>
        <v/>
      </c>
      <c r="I9" s="7">
        <f>ROUNDUP(Batiments!$E$9*Parametres!$B$2^$A9,0)</f>
        <v/>
      </c>
      <c r="J9" s="7">
        <f>ROUNDUP(Batiments!$E$10*Parametres!$B$2^$A9,0)</f>
        <v/>
      </c>
      <c r="K9" s="7">
        <f>ROUNDUP(Batiments!$E$11*Parametres!$B$2^$A9,0)</f>
        <v/>
      </c>
    </row>
    <row r="10">
      <c r="A10" t="n">
        <v>8</v>
      </c>
      <c r="B10" s="7">
        <f>ROUNDUP(Batiments!$E$2*Parametres!$B$2^$A10,0)</f>
        <v/>
      </c>
      <c r="C10" s="7">
        <f>ROUNDUP(Batiments!$E$3*Parametres!$B$2^$A10,0)</f>
        <v/>
      </c>
      <c r="D10" s="7">
        <f>ROUNDUP(Batiments!$E$4*Parametres!$B$2^$A10,0)</f>
        <v/>
      </c>
      <c r="E10" s="7">
        <f>ROUNDUP(Batiments!$E$5*Parametres!$B$2^$A10,0)</f>
        <v/>
      </c>
      <c r="F10" s="7">
        <f>ROUNDUP(Batiments!$E$6*Parametres!$B$2^$A10,0)</f>
        <v/>
      </c>
      <c r="G10" s="7">
        <f>ROUNDUP(Batiments!$E$7*Parametres!$B$2^$A10,0)</f>
        <v/>
      </c>
      <c r="H10" s="7">
        <f>ROUNDUP(Batiments!$E$8*Parametres!$B$2^$A10,0)</f>
        <v/>
      </c>
      <c r="I10" s="7">
        <f>ROUNDUP(Batiments!$E$9*Parametres!$B$2^$A10,0)</f>
        <v/>
      </c>
      <c r="J10" s="7">
        <f>ROUNDUP(Batiments!$E$10*Parametres!$B$2^$A10,0)</f>
        <v/>
      </c>
      <c r="K10" s="7">
        <f>ROUNDUP(Batiments!$E$11*Parametres!$B$2^$A10,0)</f>
        <v/>
      </c>
    </row>
    <row r="11">
      <c r="A11" t="n">
        <v>9</v>
      </c>
      <c r="B11" s="7">
        <f>ROUNDUP(Batiments!$E$2*Parametres!$B$2^$A11,0)</f>
        <v/>
      </c>
      <c r="C11" s="7">
        <f>ROUNDUP(Batiments!$E$3*Parametres!$B$2^$A11,0)</f>
        <v/>
      </c>
      <c r="D11" s="7">
        <f>ROUNDUP(Batiments!$E$4*Parametres!$B$2^$A11,0)</f>
        <v/>
      </c>
      <c r="E11" s="7">
        <f>ROUNDUP(Batiments!$E$5*Parametres!$B$2^$A11,0)</f>
        <v/>
      </c>
      <c r="F11" s="7">
        <f>ROUNDUP(Batiments!$E$6*Parametres!$B$2^$A11,0)</f>
        <v/>
      </c>
      <c r="G11" s="7">
        <f>ROUNDUP(Batiments!$E$7*Parametres!$B$2^$A11,0)</f>
        <v/>
      </c>
      <c r="H11" s="7">
        <f>ROUNDUP(Batiments!$E$8*Parametres!$B$2^$A11,0)</f>
        <v/>
      </c>
      <c r="I11" s="7">
        <f>ROUNDUP(Batiments!$E$9*Parametres!$B$2^$A11,0)</f>
        <v/>
      </c>
      <c r="J11" s="7">
        <f>ROUNDUP(Batiments!$E$10*Parametres!$B$2^$A11,0)</f>
        <v/>
      </c>
      <c r="K11" s="7">
        <f>ROUNDUP(Batiments!$E$11*Parametres!$B$2^$A11,0)</f>
        <v/>
      </c>
    </row>
    <row r="12">
      <c r="A12" t="n">
        <v>10</v>
      </c>
      <c r="B12" s="7">
        <f>ROUNDUP(Batiments!$E$2*Parametres!$B$2^$A12,0)</f>
        <v/>
      </c>
      <c r="C12" s="7">
        <f>ROUNDUP(Batiments!$E$3*Parametres!$B$2^$A12,0)</f>
        <v/>
      </c>
      <c r="D12" s="7">
        <f>ROUNDUP(Batiments!$E$4*Parametres!$B$2^$A12,0)</f>
        <v/>
      </c>
      <c r="E12" s="7">
        <f>ROUNDUP(Batiments!$E$5*Parametres!$B$2^$A12,0)</f>
        <v/>
      </c>
      <c r="F12" s="7">
        <f>ROUNDUP(Batiments!$E$6*Parametres!$B$2^$A12,0)</f>
        <v/>
      </c>
      <c r="G12" s="7">
        <f>ROUNDUP(Batiments!$E$7*Parametres!$B$2^$A12,0)</f>
        <v/>
      </c>
      <c r="H12" s="7">
        <f>ROUNDUP(Batiments!$E$8*Parametres!$B$2^$A12,0)</f>
        <v/>
      </c>
      <c r="I12" s="7">
        <f>ROUNDUP(Batiments!$E$9*Parametres!$B$2^$A12,0)</f>
        <v/>
      </c>
      <c r="J12" s="7">
        <f>ROUNDUP(Batiments!$E$10*Parametres!$B$2^$A12,0)</f>
        <v/>
      </c>
      <c r="K12" s="7">
        <f>ROUNDUP(Batiments!$E$11*Parametres!$B$2^$A12,0)</f>
        <v/>
      </c>
    </row>
    <row r="13">
      <c r="A13" t="n">
        <v>11</v>
      </c>
      <c r="B13" s="7">
        <f>ROUNDUP(Batiments!$E$2*Parametres!$B$2^$A13,0)</f>
        <v/>
      </c>
      <c r="C13" s="7">
        <f>ROUNDUP(Batiments!$E$3*Parametres!$B$2^$A13,0)</f>
        <v/>
      </c>
      <c r="D13" s="7">
        <f>ROUNDUP(Batiments!$E$4*Parametres!$B$2^$A13,0)</f>
        <v/>
      </c>
      <c r="E13" s="7">
        <f>ROUNDUP(Batiments!$E$5*Parametres!$B$2^$A13,0)</f>
        <v/>
      </c>
      <c r="F13" s="7">
        <f>ROUNDUP(Batiments!$E$6*Parametres!$B$2^$A13,0)</f>
        <v/>
      </c>
      <c r="G13" s="7">
        <f>ROUNDUP(Batiments!$E$7*Parametres!$B$2^$A13,0)</f>
        <v/>
      </c>
      <c r="H13" s="7">
        <f>ROUNDUP(Batiments!$E$8*Parametres!$B$2^$A13,0)</f>
        <v/>
      </c>
      <c r="I13" s="7">
        <f>ROUNDUP(Batiments!$E$9*Parametres!$B$2^$A13,0)</f>
        <v/>
      </c>
      <c r="J13" s="7">
        <f>ROUNDUP(Batiments!$E$10*Parametres!$B$2^$A13,0)</f>
        <v/>
      </c>
      <c r="K13" s="7">
        <f>ROUNDUP(Batiments!$E$11*Parametres!$B$2^$A13,0)</f>
        <v/>
      </c>
    </row>
    <row r="14">
      <c r="A14" t="n">
        <v>12</v>
      </c>
      <c r="B14" s="7">
        <f>ROUNDUP(Batiments!$E$2*Parametres!$B$2^$A14,0)</f>
        <v/>
      </c>
      <c r="C14" s="7">
        <f>ROUNDUP(Batiments!$E$3*Parametres!$B$2^$A14,0)</f>
        <v/>
      </c>
      <c r="D14" s="7">
        <f>ROUNDUP(Batiments!$E$4*Parametres!$B$2^$A14,0)</f>
        <v/>
      </c>
      <c r="E14" s="7">
        <f>ROUNDUP(Batiments!$E$5*Parametres!$B$2^$A14,0)</f>
        <v/>
      </c>
      <c r="F14" s="7">
        <f>ROUNDUP(Batiments!$E$6*Parametres!$B$2^$A14,0)</f>
        <v/>
      </c>
      <c r="G14" s="7">
        <f>ROUNDUP(Batiments!$E$7*Parametres!$B$2^$A14,0)</f>
        <v/>
      </c>
      <c r="H14" s="7">
        <f>ROUNDUP(Batiments!$E$8*Parametres!$B$2^$A14,0)</f>
        <v/>
      </c>
      <c r="I14" s="7">
        <f>ROUNDUP(Batiments!$E$9*Parametres!$B$2^$A14,0)</f>
        <v/>
      </c>
      <c r="J14" s="7">
        <f>ROUNDUP(Batiments!$E$10*Parametres!$B$2^$A14,0)</f>
        <v/>
      </c>
      <c r="K14" s="7">
        <f>ROUNDUP(Batiments!$E$11*Parametres!$B$2^$A14,0)</f>
        <v/>
      </c>
    </row>
    <row r="15">
      <c r="A15" t="n">
        <v>13</v>
      </c>
      <c r="B15" s="7">
        <f>ROUNDUP(Batiments!$E$2*Parametres!$B$2^$A15,0)</f>
        <v/>
      </c>
      <c r="C15" s="7">
        <f>ROUNDUP(Batiments!$E$3*Parametres!$B$2^$A15,0)</f>
        <v/>
      </c>
      <c r="D15" s="7">
        <f>ROUNDUP(Batiments!$E$4*Parametres!$B$2^$A15,0)</f>
        <v/>
      </c>
      <c r="E15" s="7">
        <f>ROUNDUP(Batiments!$E$5*Parametres!$B$2^$A15,0)</f>
        <v/>
      </c>
      <c r="F15" s="7">
        <f>ROUNDUP(Batiments!$E$6*Parametres!$B$2^$A15,0)</f>
        <v/>
      </c>
      <c r="G15" s="7">
        <f>ROUNDUP(Batiments!$E$7*Parametres!$B$2^$A15,0)</f>
        <v/>
      </c>
      <c r="H15" s="7">
        <f>ROUNDUP(Batiments!$E$8*Parametres!$B$2^$A15,0)</f>
        <v/>
      </c>
      <c r="I15" s="7">
        <f>ROUNDUP(Batiments!$E$9*Parametres!$B$2^$A15,0)</f>
        <v/>
      </c>
      <c r="J15" s="7">
        <f>ROUNDUP(Batiments!$E$10*Parametres!$B$2^$A15,0)</f>
        <v/>
      </c>
      <c r="K15" s="7">
        <f>ROUNDUP(Batiments!$E$11*Parametres!$B$2^$A15,0)</f>
        <v/>
      </c>
    </row>
    <row r="16">
      <c r="A16" t="n">
        <v>14</v>
      </c>
      <c r="B16" s="7">
        <f>ROUNDUP(Batiments!$E$2*Parametres!$B$2^$A16,0)</f>
        <v/>
      </c>
      <c r="C16" s="7">
        <f>ROUNDUP(Batiments!$E$3*Parametres!$B$2^$A16,0)</f>
        <v/>
      </c>
      <c r="D16" s="7">
        <f>ROUNDUP(Batiments!$E$4*Parametres!$B$2^$A16,0)</f>
        <v/>
      </c>
      <c r="E16" s="7">
        <f>ROUNDUP(Batiments!$E$5*Parametres!$B$2^$A16,0)</f>
        <v/>
      </c>
      <c r="F16" s="7">
        <f>ROUNDUP(Batiments!$E$6*Parametres!$B$2^$A16,0)</f>
        <v/>
      </c>
      <c r="G16" s="7">
        <f>ROUNDUP(Batiments!$E$7*Parametres!$B$2^$A16,0)</f>
        <v/>
      </c>
      <c r="H16" s="7">
        <f>ROUNDUP(Batiments!$E$8*Parametres!$B$2^$A16,0)</f>
        <v/>
      </c>
      <c r="I16" s="7">
        <f>ROUNDUP(Batiments!$E$9*Parametres!$B$2^$A16,0)</f>
        <v/>
      </c>
      <c r="J16" s="7">
        <f>ROUNDUP(Batiments!$E$10*Parametres!$B$2^$A16,0)</f>
        <v/>
      </c>
      <c r="K16" s="7">
        <f>ROUNDUP(Batiments!$E$11*Parametres!$B$2^$A16,0)</f>
        <v/>
      </c>
    </row>
    <row r="17">
      <c r="A17" t="n">
        <v>15</v>
      </c>
      <c r="B17" s="7">
        <f>ROUNDUP(Batiments!$E$2*Parametres!$B$2^$A17,0)</f>
        <v/>
      </c>
      <c r="C17" s="7">
        <f>ROUNDUP(Batiments!$E$3*Parametres!$B$2^$A17,0)</f>
        <v/>
      </c>
      <c r="D17" s="7">
        <f>ROUNDUP(Batiments!$E$4*Parametres!$B$2^$A17,0)</f>
        <v/>
      </c>
      <c r="E17" s="7">
        <f>ROUNDUP(Batiments!$E$5*Parametres!$B$2^$A17,0)</f>
        <v/>
      </c>
      <c r="F17" s="7">
        <f>ROUNDUP(Batiments!$E$6*Parametres!$B$2^$A17,0)</f>
        <v/>
      </c>
      <c r="G17" s="7">
        <f>ROUNDUP(Batiments!$E$7*Parametres!$B$2^$A17,0)</f>
        <v/>
      </c>
      <c r="H17" s="7">
        <f>ROUNDUP(Batiments!$E$8*Parametres!$B$2^$A17,0)</f>
        <v/>
      </c>
      <c r="I17" s="7">
        <f>ROUNDUP(Batiments!$E$9*Parametres!$B$2^$A17,0)</f>
        <v/>
      </c>
      <c r="J17" s="7">
        <f>ROUNDUP(Batiments!$E$10*Parametres!$B$2^$A17,0)</f>
        <v/>
      </c>
      <c r="K17" s="7">
        <f>ROUNDUP(Batiments!$E$11*Parametres!$B$2^$A17,0)</f>
        <v/>
      </c>
    </row>
    <row r="18">
      <c r="A18" t="n">
        <v>16</v>
      </c>
      <c r="B18" s="7">
        <f>ROUNDUP(Batiments!$E$2*Parametres!$B$2^$A18,0)</f>
        <v/>
      </c>
      <c r="C18" s="7">
        <f>ROUNDUP(Batiments!$E$3*Parametres!$B$2^$A18,0)</f>
        <v/>
      </c>
      <c r="D18" s="7">
        <f>ROUNDUP(Batiments!$E$4*Parametres!$B$2^$A18,0)</f>
        <v/>
      </c>
      <c r="E18" s="7">
        <f>ROUNDUP(Batiments!$E$5*Parametres!$B$2^$A18,0)</f>
        <v/>
      </c>
      <c r="F18" s="7">
        <f>ROUNDUP(Batiments!$E$6*Parametres!$B$2^$A18,0)</f>
        <v/>
      </c>
      <c r="G18" s="7">
        <f>ROUNDUP(Batiments!$E$7*Parametres!$B$2^$A18,0)</f>
        <v/>
      </c>
      <c r="H18" s="7">
        <f>ROUNDUP(Batiments!$E$8*Parametres!$B$2^$A18,0)</f>
        <v/>
      </c>
      <c r="I18" s="7">
        <f>ROUNDUP(Batiments!$E$9*Parametres!$B$2^$A18,0)</f>
        <v/>
      </c>
      <c r="J18" s="7">
        <f>ROUNDUP(Batiments!$E$10*Parametres!$B$2^$A18,0)</f>
        <v/>
      </c>
      <c r="K18" s="7">
        <f>ROUNDUP(Batiments!$E$11*Parametres!$B$2^$A18,0)</f>
        <v/>
      </c>
    </row>
    <row r="19">
      <c r="A19" t="n">
        <v>17</v>
      </c>
      <c r="B19" s="7">
        <f>ROUNDUP(Batiments!$E$2*Parametres!$B$2^$A19,0)</f>
        <v/>
      </c>
      <c r="C19" s="7">
        <f>ROUNDUP(Batiments!$E$3*Parametres!$B$2^$A19,0)</f>
        <v/>
      </c>
      <c r="D19" s="7">
        <f>ROUNDUP(Batiments!$E$4*Parametres!$B$2^$A19,0)</f>
        <v/>
      </c>
      <c r="E19" s="7">
        <f>ROUNDUP(Batiments!$E$5*Parametres!$B$2^$A19,0)</f>
        <v/>
      </c>
      <c r="F19" s="7">
        <f>ROUNDUP(Batiments!$E$6*Parametres!$B$2^$A19,0)</f>
        <v/>
      </c>
      <c r="G19" s="7">
        <f>ROUNDUP(Batiments!$E$7*Parametres!$B$2^$A19,0)</f>
        <v/>
      </c>
      <c r="H19" s="7">
        <f>ROUNDUP(Batiments!$E$8*Parametres!$B$2^$A19,0)</f>
        <v/>
      </c>
      <c r="I19" s="7">
        <f>ROUNDUP(Batiments!$E$9*Parametres!$B$2^$A19,0)</f>
        <v/>
      </c>
      <c r="J19" s="7">
        <f>ROUNDUP(Batiments!$E$10*Parametres!$B$2^$A19,0)</f>
        <v/>
      </c>
      <c r="K19" s="7">
        <f>ROUNDUP(Batiments!$E$11*Parametres!$B$2^$A19,0)</f>
        <v/>
      </c>
    </row>
    <row r="20">
      <c r="A20" t="n">
        <v>18</v>
      </c>
      <c r="B20" s="7">
        <f>ROUNDUP(Batiments!$E$2*Parametres!$B$2^$A20,0)</f>
        <v/>
      </c>
      <c r="C20" s="7">
        <f>ROUNDUP(Batiments!$E$3*Parametres!$B$2^$A20,0)</f>
        <v/>
      </c>
      <c r="D20" s="7">
        <f>ROUNDUP(Batiments!$E$4*Parametres!$B$2^$A20,0)</f>
        <v/>
      </c>
      <c r="E20" s="7">
        <f>ROUNDUP(Batiments!$E$5*Parametres!$B$2^$A20,0)</f>
        <v/>
      </c>
      <c r="F20" s="7">
        <f>ROUNDUP(Batiments!$E$6*Parametres!$B$2^$A20,0)</f>
        <v/>
      </c>
      <c r="G20" s="7">
        <f>ROUNDUP(Batiments!$E$7*Parametres!$B$2^$A20,0)</f>
        <v/>
      </c>
      <c r="H20" s="7">
        <f>ROUNDUP(Batiments!$E$8*Parametres!$B$2^$A20,0)</f>
        <v/>
      </c>
      <c r="I20" s="7">
        <f>ROUNDUP(Batiments!$E$9*Parametres!$B$2^$A20,0)</f>
        <v/>
      </c>
      <c r="J20" s="7">
        <f>ROUNDUP(Batiments!$E$10*Parametres!$B$2^$A20,0)</f>
        <v/>
      </c>
      <c r="K20" s="7">
        <f>ROUNDUP(Batiments!$E$11*Parametres!$B$2^$A20,0)</f>
        <v/>
      </c>
    </row>
    <row r="21">
      <c r="A21" t="n">
        <v>19</v>
      </c>
      <c r="B21" s="7">
        <f>ROUNDUP(Batiments!$E$2*Parametres!$B$2^$A21,0)</f>
        <v/>
      </c>
      <c r="C21" s="7">
        <f>ROUNDUP(Batiments!$E$3*Parametres!$B$2^$A21,0)</f>
        <v/>
      </c>
      <c r="D21" s="7">
        <f>ROUNDUP(Batiments!$E$4*Parametres!$B$2^$A21,0)</f>
        <v/>
      </c>
      <c r="E21" s="7">
        <f>ROUNDUP(Batiments!$E$5*Parametres!$B$2^$A21,0)</f>
        <v/>
      </c>
      <c r="F21" s="7">
        <f>ROUNDUP(Batiments!$E$6*Parametres!$B$2^$A21,0)</f>
        <v/>
      </c>
      <c r="G21" s="7">
        <f>ROUNDUP(Batiments!$E$7*Parametres!$B$2^$A21,0)</f>
        <v/>
      </c>
      <c r="H21" s="7">
        <f>ROUNDUP(Batiments!$E$8*Parametres!$B$2^$A21,0)</f>
        <v/>
      </c>
      <c r="I21" s="7">
        <f>ROUNDUP(Batiments!$E$9*Parametres!$B$2^$A21,0)</f>
        <v/>
      </c>
      <c r="J21" s="7">
        <f>ROUNDUP(Batiments!$E$10*Parametres!$B$2^$A21,0)</f>
        <v/>
      </c>
      <c r="K21" s="7">
        <f>ROUNDUP(Batiments!$E$11*Parametres!$B$2^$A21,0)</f>
        <v/>
      </c>
    </row>
    <row r="22">
      <c r="A22" t="n">
        <v>20</v>
      </c>
      <c r="B22" s="7">
        <f>ROUNDUP(Batiments!$E$2*Parametres!$B$2^$A22,0)</f>
        <v/>
      </c>
      <c r="C22" s="7">
        <f>ROUNDUP(Batiments!$E$3*Parametres!$B$2^$A22,0)</f>
        <v/>
      </c>
      <c r="D22" s="7">
        <f>ROUNDUP(Batiments!$E$4*Parametres!$B$2^$A22,0)</f>
        <v/>
      </c>
      <c r="E22" s="7">
        <f>ROUNDUP(Batiments!$E$5*Parametres!$B$2^$A22,0)</f>
        <v/>
      </c>
      <c r="F22" s="7">
        <f>ROUNDUP(Batiments!$E$6*Parametres!$B$2^$A22,0)</f>
        <v/>
      </c>
      <c r="G22" s="7">
        <f>ROUNDUP(Batiments!$E$7*Parametres!$B$2^$A22,0)</f>
        <v/>
      </c>
      <c r="H22" s="7">
        <f>ROUNDUP(Batiments!$E$8*Parametres!$B$2^$A22,0)</f>
        <v/>
      </c>
      <c r="I22" s="7">
        <f>ROUNDUP(Batiments!$E$9*Parametres!$B$2^$A22,0)</f>
        <v/>
      </c>
      <c r="J22" s="7">
        <f>ROUNDUP(Batiments!$E$10*Parametres!$B$2^$A22,0)</f>
        <v/>
      </c>
      <c r="K22" s="7">
        <f>ROUNDUP(Batiments!$E$11*Parametres!$B$2^$A22,0)</f>
        <v/>
      </c>
    </row>
    <row r="23">
      <c r="A23" t="n">
        <v>21</v>
      </c>
      <c r="B23" s="7">
        <f>ROUNDUP(Batiments!$E$2*Parametres!$B$2^$A23,0)</f>
        <v/>
      </c>
      <c r="C23" s="7">
        <f>ROUNDUP(Batiments!$E$3*Parametres!$B$2^$A23,0)</f>
        <v/>
      </c>
      <c r="D23" s="7">
        <f>ROUNDUP(Batiments!$E$4*Parametres!$B$2^$A23,0)</f>
        <v/>
      </c>
      <c r="E23" s="7">
        <f>ROUNDUP(Batiments!$E$5*Parametres!$B$2^$A23,0)</f>
        <v/>
      </c>
      <c r="F23" s="7">
        <f>ROUNDUP(Batiments!$E$6*Parametres!$B$2^$A23,0)</f>
        <v/>
      </c>
      <c r="G23" s="7">
        <f>ROUNDUP(Batiments!$E$7*Parametres!$B$2^$A23,0)</f>
        <v/>
      </c>
      <c r="H23" s="7">
        <f>ROUNDUP(Batiments!$E$8*Parametres!$B$2^$A23,0)</f>
        <v/>
      </c>
      <c r="I23" s="7">
        <f>ROUNDUP(Batiments!$E$9*Parametres!$B$2^$A23,0)</f>
        <v/>
      </c>
      <c r="J23" s="7">
        <f>ROUNDUP(Batiments!$E$10*Parametres!$B$2^$A23,0)</f>
        <v/>
      </c>
      <c r="K23" s="7">
        <f>ROUNDUP(Batiments!$E$11*Parametres!$B$2^$A23,0)</f>
        <v/>
      </c>
    </row>
    <row r="24">
      <c r="A24" t="n">
        <v>22</v>
      </c>
      <c r="B24" s="7">
        <f>ROUNDUP(Batiments!$E$2*Parametres!$B$2^$A24,0)</f>
        <v/>
      </c>
      <c r="C24" s="7">
        <f>ROUNDUP(Batiments!$E$3*Parametres!$B$2^$A24,0)</f>
        <v/>
      </c>
      <c r="D24" s="7">
        <f>ROUNDUP(Batiments!$E$4*Parametres!$B$2^$A24,0)</f>
        <v/>
      </c>
      <c r="E24" s="7">
        <f>ROUNDUP(Batiments!$E$5*Parametres!$B$2^$A24,0)</f>
        <v/>
      </c>
      <c r="F24" s="7">
        <f>ROUNDUP(Batiments!$E$6*Parametres!$B$2^$A24,0)</f>
        <v/>
      </c>
      <c r="G24" s="7">
        <f>ROUNDUP(Batiments!$E$7*Parametres!$B$2^$A24,0)</f>
        <v/>
      </c>
      <c r="H24" s="7">
        <f>ROUNDUP(Batiments!$E$8*Parametres!$B$2^$A24,0)</f>
        <v/>
      </c>
      <c r="I24" s="7">
        <f>ROUNDUP(Batiments!$E$9*Parametres!$B$2^$A24,0)</f>
        <v/>
      </c>
      <c r="J24" s="7">
        <f>ROUNDUP(Batiments!$E$10*Parametres!$B$2^$A24,0)</f>
        <v/>
      </c>
      <c r="K24" s="7">
        <f>ROUNDUP(Batiments!$E$11*Parametres!$B$2^$A24,0)</f>
        <v/>
      </c>
    </row>
    <row r="25">
      <c r="A25" t="n">
        <v>23</v>
      </c>
      <c r="B25" s="7">
        <f>ROUNDUP(Batiments!$E$2*Parametres!$B$2^$A25,0)</f>
        <v/>
      </c>
      <c r="C25" s="7">
        <f>ROUNDUP(Batiments!$E$3*Parametres!$B$2^$A25,0)</f>
        <v/>
      </c>
      <c r="D25" s="7">
        <f>ROUNDUP(Batiments!$E$4*Parametres!$B$2^$A25,0)</f>
        <v/>
      </c>
      <c r="E25" s="7">
        <f>ROUNDUP(Batiments!$E$5*Parametres!$B$2^$A25,0)</f>
        <v/>
      </c>
      <c r="F25" s="7">
        <f>ROUNDUP(Batiments!$E$6*Parametres!$B$2^$A25,0)</f>
        <v/>
      </c>
      <c r="G25" s="7">
        <f>ROUNDUP(Batiments!$E$7*Parametres!$B$2^$A25,0)</f>
        <v/>
      </c>
      <c r="H25" s="7">
        <f>ROUNDUP(Batiments!$E$8*Parametres!$B$2^$A25,0)</f>
        <v/>
      </c>
      <c r="I25" s="7">
        <f>ROUNDUP(Batiments!$E$9*Parametres!$B$2^$A25,0)</f>
        <v/>
      </c>
      <c r="J25" s="7">
        <f>ROUNDUP(Batiments!$E$10*Parametres!$B$2^$A25,0)</f>
        <v/>
      </c>
      <c r="K25" s="7">
        <f>ROUNDUP(Batiments!$E$11*Parametres!$B$2^$A25,0)</f>
        <v/>
      </c>
    </row>
    <row r="26">
      <c r="A26" t="n">
        <v>24</v>
      </c>
      <c r="B26" s="7">
        <f>ROUNDUP(Batiments!$E$2*Parametres!$B$2^$A26,0)</f>
        <v/>
      </c>
      <c r="C26" s="7">
        <f>ROUNDUP(Batiments!$E$3*Parametres!$B$2^$A26,0)</f>
        <v/>
      </c>
      <c r="D26" s="7">
        <f>ROUNDUP(Batiments!$E$4*Parametres!$B$2^$A26,0)</f>
        <v/>
      </c>
      <c r="E26" s="7">
        <f>ROUNDUP(Batiments!$E$5*Parametres!$B$2^$A26,0)</f>
        <v/>
      </c>
      <c r="F26" s="7">
        <f>ROUNDUP(Batiments!$E$6*Parametres!$B$2^$A26,0)</f>
        <v/>
      </c>
      <c r="G26" s="7">
        <f>ROUNDUP(Batiments!$E$7*Parametres!$B$2^$A26,0)</f>
        <v/>
      </c>
      <c r="H26" s="7">
        <f>ROUNDUP(Batiments!$E$8*Parametres!$B$2^$A26,0)</f>
        <v/>
      </c>
      <c r="I26" s="7">
        <f>ROUNDUP(Batiments!$E$9*Parametres!$B$2^$A26,0)</f>
        <v/>
      </c>
      <c r="J26" s="7">
        <f>ROUNDUP(Batiments!$E$10*Parametres!$B$2^$A26,0)</f>
        <v/>
      </c>
      <c r="K26" s="7">
        <f>ROUNDUP(Batiments!$E$11*Parametres!$B$2^$A26,0)</f>
        <v/>
      </c>
    </row>
    <row r="27">
      <c r="A27" t="n">
        <v>25</v>
      </c>
      <c r="B27" s="7">
        <f>ROUNDUP(Batiments!$E$2*Parametres!$B$2^$A27,0)</f>
        <v/>
      </c>
      <c r="C27" s="7">
        <f>ROUNDUP(Batiments!$E$3*Parametres!$B$2^$A27,0)</f>
        <v/>
      </c>
      <c r="D27" s="7">
        <f>ROUNDUP(Batiments!$E$4*Parametres!$B$2^$A27,0)</f>
        <v/>
      </c>
      <c r="E27" s="7">
        <f>ROUNDUP(Batiments!$E$5*Parametres!$B$2^$A27,0)</f>
        <v/>
      </c>
      <c r="F27" s="7">
        <f>ROUNDUP(Batiments!$E$6*Parametres!$B$2^$A27,0)</f>
        <v/>
      </c>
      <c r="G27" s="7">
        <f>ROUNDUP(Batiments!$E$7*Parametres!$B$2^$A27,0)</f>
        <v/>
      </c>
      <c r="H27" s="7">
        <f>ROUNDUP(Batiments!$E$8*Parametres!$B$2^$A27,0)</f>
        <v/>
      </c>
      <c r="I27" s="7">
        <f>ROUNDUP(Batiments!$E$9*Parametres!$B$2^$A27,0)</f>
        <v/>
      </c>
      <c r="J27" s="7">
        <f>ROUNDUP(Batiments!$E$10*Parametres!$B$2^$A27,0)</f>
        <v/>
      </c>
      <c r="K27" s="7">
        <f>ROUNDUP(Batiments!$E$11*Parametres!$B$2^$A27,0)</f>
        <v/>
      </c>
    </row>
    <row r="28">
      <c r="A28" t="n">
        <v>26</v>
      </c>
      <c r="B28" s="7">
        <f>ROUNDUP(Batiments!$E$2*Parametres!$B$2^$A28,0)</f>
        <v/>
      </c>
      <c r="C28" s="7">
        <f>ROUNDUP(Batiments!$E$3*Parametres!$B$2^$A28,0)</f>
        <v/>
      </c>
      <c r="D28" s="7">
        <f>ROUNDUP(Batiments!$E$4*Parametres!$B$2^$A28,0)</f>
        <v/>
      </c>
      <c r="E28" s="7">
        <f>ROUNDUP(Batiments!$E$5*Parametres!$B$2^$A28,0)</f>
        <v/>
      </c>
      <c r="F28" s="7">
        <f>ROUNDUP(Batiments!$E$6*Parametres!$B$2^$A28,0)</f>
        <v/>
      </c>
      <c r="G28" s="7">
        <f>ROUNDUP(Batiments!$E$7*Parametres!$B$2^$A28,0)</f>
        <v/>
      </c>
      <c r="H28" s="7">
        <f>ROUNDUP(Batiments!$E$8*Parametres!$B$2^$A28,0)</f>
        <v/>
      </c>
      <c r="I28" s="7">
        <f>ROUNDUP(Batiments!$E$9*Parametres!$B$2^$A28,0)</f>
        <v/>
      </c>
      <c r="J28" s="7">
        <f>ROUNDUP(Batiments!$E$10*Parametres!$B$2^$A28,0)</f>
        <v/>
      </c>
      <c r="K28" s="7">
        <f>ROUNDUP(Batiments!$E$11*Parametres!$B$2^$A28,0)</f>
        <v/>
      </c>
    </row>
    <row r="29">
      <c r="A29" t="n">
        <v>27</v>
      </c>
      <c r="B29" s="7">
        <f>ROUNDUP(Batiments!$E$2*Parametres!$B$2^$A29,0)</f>
        <v/>
      </c>
      <c r="C29" s="7">
        <f>ROUNDUP(Batiments!$E$3*Parametres!$B$2^$A29,0)</f>
        <v/>
      </c>
      <c r="D29" s="7">
        <f>ROUNDUP(Batiments!$E$4*Parametres!$B$2^$A29,0)</f>
        <v/>
      </c>
      <c r="E29" s="7">
        <f>ROUNDUP(Batiments!$E$5*Parametres!$B$2^$A29,0)</f>
        <v/>
      </c>
      <c r="F29" s="7">
        <f>ROUNDUP(Batiments!$E$6*Parametres!$B$2^$A29,0)</f>
        <v/>
      </c>
      <c r="G29" s="7">
        <f>ROUNDUP(Batiments!$E$7*Parametres!$B$2^$A29,0)</f>
        <v/>
      </c>
      <c r="H29" s="7">
        <f>ROUNDUP(Batiments!$E$8*Parametres!$B$2^$A29,0)</f>
        <v/>
      </c>
      <c r="I29" s="7">
        <f>ROUNDUP(Batiments!$E$9*Parametres!$B$2^$A29,0)</f>
        <v/>
      </c>
      <c r="J29" s="7">
        <f>ROUNDUP(Batiments!$E$10*Parametres!$B$2^$A29,0)</f>
        <v/>
      </c>
      <c r="K29" s="7">
        <f>ROUNDUP(Batiments!$E$11*Parametres!$B$2^$A29,0)</f>
        <v/>
      </c>
    </row>
    <row r="30">
      <c r="A30" t="n">
        <v>28</v>
      </c>
      <c r="B30" s="7">
        <f>ROUNDUP(Batiments!$E$2*Parametres!$B$2^$A30,0)</f>
        <v/>
      </c>
      <c r="C30" s="7">
        <f>ROUNDUP(Batiments!$E$3*Parametres!$B$2^$A30,0)</f>
        <v/>
      </c>
      <c r="D30" s="7">
        <f>ROUNDUP(Batiments!$E$4*Parametres!$B$2^$A30,0)</f>
        <v/>
      </c>
      <c r="E30" s="7">
        <f>ROUNDUP(Batiments!$E$5*Parametres!$B$2^$A30,0)</f>
        <v/>
      </c>
      <c r="F30" s="7">
        <f>ROUNDUP(Batiments!$E$6*Parametres!$B$2^$A30,0)</f>
        <v/>
      </c>
      <c r="G30" s="7">
        <f>ROUNDUP(Batiments!$E$7*Parametres!$B$2^$A30,0)</f>
        <v/>
      </c>
      <c r="H30" s="7">
        <f>ROUNDUP(Batiments!$E$8*Parametres!$B$2^$A30,0)</f>
        <v/>
      </c>
      <c r="I30" s="7">
        <f>ROUNDUP(Batiments!$E$9*Parametres!$B$2^$A30,0)</f>
        <v/>
      </c>
      <c r="J30" s="7">
        <f>ROUNDUP(Batiments!$E$10*Parametres!$B$2^$A30,0)</f>
        <v/>
      </c>
      <c r="K30" s="7">
        <f>ROUNDUP(Batiments!$E$11*Parametres!$B$2^$A30,0)</f>
        <v/>
      </c>
    </row>
    <row r="31">
      <c r="A31" t="n">
        <v>29</v>
      </c>
      <c r="B31" s="7">
        <f>ROUNDUP(Batiments!$E$2*Parametres!$B$2^$A31,0)</f>
        <v/>
      </c>
      <c r="C31" s="7">
        <f>ROUNDUP(Batiments!$E$3*Parametres!$B$2^$A31,0)</f>
        <v/>
      </c>
      <c r="D31" s="7">
        <f>ROUNDUP(Batiments!$E$4*Parametres!$B$2^$A31,0)</f>
        <v/>
      </c>
      <c r="E31" s="7">
        <f>ROUNDUP(Batiments!$E$5*Parametres!$B$2^$A31,0)</f>
        <v/>
      </c>
      <c r="F31" s="7">
        <f>ROUNDUP(Batiments!$E$6*Parametres!$B$2^$A31,0)</f>
        <v/>
      </c>
      <c r="G31" s="7">
        <f>ROUNDUP(Batiments!$E$7*Parametres!$B$2^$A31,0)</f>
        <v/>
      </c>
      <c r="H31" s="7">
        <f>ROUNDUP(Batiments!$E$8*Parametres!$B$2^$A31,0)</f>
        <v/>
      </c>
      <c r="I31" s="7">
        <f>ROUNDUP(Batiments!$E$9*Parametres!$B$2^$A31,0)</f>
        <v/>
      </c>
      <c r="J31" s="7">
        <f>ROUNDUP(Batiments!$E$10*Parametres!$B$2^$A31,0)</f>
        <v/>
      </c>
      <c r="K31" s="7">
        <f>ROUNDUP(Batiments!$E$11*Parametres!$B$2^$A31,0)</f>
        <v/>
      </c>
    </row>
    <row r="32">
      <c r="A32" t="n">
        <v>30</v>
      </c>
      <c r="B32" s="7">
        <f>ROUNDUP(Batiments!$E$2*Parametres!$B$2^$A32,0)</f>
        <v/>
      </c>
      <c r="C32" s="7">
        <f>ROUNDUP(Batiments!$E$3*Parametres!$B$2^$A32,0)</f>
        <v/>
      </c>
      <c r="D32" s="7">
        <f>ROUNDUP(Batiments!$E$4*Parametres!$B$2^$A32,0)</f>
        <v/>
      </c>
      <c r="E32" s="7">
        <f>ROUNDUP(Batiments!$E$5*Parametres!$B$2^$A32,0)</f>
        <v/>
      </c>
      <c r="F32" s="7">
        <f>ROUNDUP(Batiments!$E$6*Parametres!$B$2^$A32,0)</f>
        <v/>
      </c>
      <c r="G32" s="7">
        <f>ROUNDUP(Batiments!$E$7*Parametres!$B$2^$A32,0)</f>
        <v/>
      </c>
      <c r="H32" s="7">
        <f>ROUNDUP(Batiments!$E$8*Parametres!$B$2^$A32,0)</f>
        <v/>
      </c>
      <c r="I32" s="7">
        <f>ROUNDUP(Batiments!$E$9*Parametres!$B$2^$A32,0)</f>
        <v/>
      </c>
      <c r="J32" s="7">
        <f>ROUNDUP(Batiments!$E$10*Parametres!$B$2^$A32,0)</f>
        <v/>
      </c>
      <c r="K32" s="7">
        <f>ROUNDUP(Batiments!$E$11*Parametres!$B$2^$A32,0)</f>
        <v/>
      </c>
    </row>
    <row r="35">
      <c r="A35" t="inlineStr">
        <is>
          <t>Coût en OR du prochain exemplaire (bois/pierre suivent le même multiplicateur).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7" customWidth="1" min="4" max="4"/>
    <col width="9" customWidth="1" min="5" max="5"/>
  </cols>
  <sheetData>
    <row r="1">
      <c r="A1" s="1" t="inlineStr">
        <is>
          <t>Tuile achetée n°</t>
        </is>
      </c>
      <c r="B1" s="1" t="inlineStr">
        <is>
          <t>Coût (or)</t>
        </is>
      </c>
      <c r="C1" s="1" t="inlineStr">
        <is>
          <t>Coût cumulé</t>
        </is>
      </c>
      <c r="D1" s="1" t="inlineStr">
        <is>
          <t>Tuiles débloquées</t>
        </is>
      </c>
      <c r="E1" s="1" t="inlineStr">
        <is>
          <t>% carte</t>
        </is>
      </c>
    </row>
    <row r="2">
      <c r="A2" t="n">
        <v>1</v>
      </c>
      <c r="B2" s="7">
        <f>ROUNDUP(Parametres!$B$7*Parametres!$B$8^(A2-1),0)</f>
        <v/>
      </c>
      <c r="C2" s="7">
        <f>SUM($B$2:B2)</f>
        <v/>
      </c>
      <c r="D2">
        <f>Parametres!$B$9+A2</f>
        <v/>
      </c>
      <c r="E2" s="11">
        <f>D2/Parametres!$B$10</f>
        <v/>
      </c>
    </row>
    <row r="3">
      <c r="A3" t="n">
        <v>2</v>
      </c>
      <c r="B3" s="7">
        <f>ROUNDUP(Parametres!$B$7*Parametres!$B$8^(A3-1),0)</f>
        <v/>
      </c>
      <c r="C3" s="7">
        <f>SUM($B$2:B3)</f>
        <v/>
      </c>
      <c r="D3">
        <f>Parametres!$B$9+A3</f>
        <v/>
      </c>
      <c r="E3" s="11">
        <f>D3/Parametres!$B$10</f>
        <v/>
      </c>
    </row>
    <row r="4">
      <c r="A4" t="n">
        <v>3</v>
      </c>
      <c r="B4" s="7">
        <f>ROUNDUP(Parametres!$B$7*Parametres!$B$8^(A4-1),0)</f>
        <v/>
      </c>
      <c r="C4" s="7">
        <f>SUM($B$2:B4)</f>
        <v/>
      </c>
      <c r="D4">
        <f>Parametres!$B$9+A4</f>
        <v/>
      </c>
      <c r="E4" s="11">
        <f>D4/Parametres!$B$10</f>
        <v/>
      </c>
    </row>
    <row r="5">
      <c r="A5" t="n">
        <v>4</v>
      </c>
      <c r="B5" s="7">
        <f>ROUNDUP(Parametres!$B$7*Parametres!$B$8^(A5-1),0)</f>
        <v/>
      </c>
      <c r="C5" s="7">
        <f>SUM($B$2:B5)</f>
        <v/>
      </c>
      <c r="D5">
        <f>Parametres!$B$9+A5</f>
        <v/>
      </c>
      <c r="E5" s="11">
        <f>D5/Parametres!$B$10</f>
        <v/>
      </c>
    </row>
    <row r="6">
      <c r="A6" t="n">
        <v>5</v>
      </c>
      <c r="B6" s="7">
        <f>ROUNDUP(Parametres!$B$7*Parametres!$B$8^(A6-1),0)</f>
        <v/>
      </c>
      <c r="C6" s="7">
        <f>SUM($B$2:B6)</f>
        <v/>
      </c>
      <c r="D6">
        <f>Parametres!$B$9+A6</f>
        <v/>
      </c>
      <c r="E6" s="11">
        <f>D6/Parametres!$B$10</f>
        <v/>
      </c>
    </row>
    <row r="7">
      <c r="A7" t="n">
        <v>6</v>
      </c>
      <c r="B7" s="7">
        <f>ROUNDUP(Parametres!$B$7*Parametres!$B$8^(A7-1),0)</f>
        <v/>
      </c>
      <c r="C7" s="7">
        <f>SUM($B$2:B7)</f>
        <v/>
      </c>
      <c r="D7">
        <f>Parametres!$B$9+A7</f>
        <v/>
      </c>
      <c r="E7" s="11">
        <f>D7/Parametres!$B$10</f>
        <v/>
      </c>
    </row>
    <row r="8">
      <c r="A8" t="n">
        <v>7</v>
      </c>
      <c r="B8" s="7">
        <f>ROUNDUP(Parametres!$B$7*Parametres!$B$8^(A8-1),0)</f>
        <v/>
      </c>
      <c r="C8" s="7">
        <f>SUM($B$2:B8)</f>
        <v/>
      </c>
      <c r="D8">
        <f>Parametres!$B$9+A8</f>
        <v/>
      </c>
      <c r="E8" s="11">
        <f>D8/Parametres!$B$10</f>
        <v/>
      </c>
    </row>
    <row r="9">
      <c r="A9" t="n">
        <v>8</v>
      </c>
      <c r="B9" s="7">
        <f>ROUNDUP(Parametres!$B$7*Parametres!$B$8^(A9-1),0)</f>
        <v/>
      </c>
      <c r="C9" s="7">
        <f>SUM($B$2:B9)</f>
        <v/>
      </c>
      <c r="D9">
        <f>Parametres!$B$9+A9</f>
        <v/>
      </c>
      <c r="E9" s="11">
        <f>D9/Parametres!$B$10</f>
        <v/>
      </c>
    </row>
    <row r="10">
      <c r="A10" t="n">
        <v>9</v>
      </c>
      <c r="B10" s="7">
        <f>ROUNDUP(Parametres!$B$7*Parametres!$B$8^(A10-1),0)</f>
        <v/>
      </c>
      <c r="C10" s="7">
        <f>SUM($B$2:B10)</f>
        <v/>
      </c>
      <c r="D10">
        <f>Parametres!$B$9+A10</f>
        <v/>
      </c>
      <c r="E10" s="11">
        <f>D10/Parametres!$B$10</f>
        <v/>
      </c>
    </row>
    <row r="11">
      <c r="A11" t="n">
        <v>10</v>
      </c>
      <c r="B11" s="7">
        <f>ROUNDUP(Parametres!$B$7*Parametres!$B$8^(A11-1),0)</f>
        <v/>
      </c>
      <c r="C11" s="7">
        <f>SUM($B$2:B11)</f>
        <v/>
      </c>
      <c r="D11">
        <f>Parametres!$B$9+A11</f>
        <v/>
      </c>
      <c r="E11" s="11">
        <f>D11/Parametres!$B$10</f>
        <v/>
      </c>
    </row>
    <row r="12">
      <c r="A12" t="n">
        <v>11</v>
      </c>
      <c r="B12" s="7">
        <f>ROUNDUP(Parametres!$B$7*Parametres!$B$8^(A12-1),0)</f>
        <v/>
      </c>
      <c r="C12" s="7">
        <f>SUM($B$2:B12)</f>
        <v/>
      </c>
      <c r="D12">
        <f>Parametres!$B$9+A12</f>
        <v/>
      </c>
      <c r="E12" s="11">
        <f>D12/Parametres!$B$10</f>
        <v/>
      </c>
    </row>
    <row r="13">
      <c r="A13" t="n">
        <v>12</v>
      </c>
      <c r="B13" s="7">
        <f>ROUNDUP(Parametres!$B$7*Parametres!$B$8^(A13-1),0)</f>
        <v/>
      </c>
      <c r="C13" s="7">
        <f>SUM($B$2:B13)</f>
        <v/>
      </c>
      <c r="D13">
        <f>Parametres!$B$9+A13</f>
        <v/>
      </c>
      <c r="E13" s="11">
        <f>D13/Parametres!$B$10</f>
        <v/>
      </c>
    </row>
    <row r="14">
      <c r="A14" t="n">
        <v>13</v>
      </c>
      <c r="B14" s="7">
        <f>ROUNDUP(Parametres!$B$7*Parametres!$B$8^(A14-1),0)</f>
        <v/>
      </c>
      <c r="C14" s="7">
        <f>SUM($B$2:B14)</f>
        <v/>
      </c>
      <c r="D14">
        <f>Parametres!$B$9+A14</f>
        <v/>
      </c>
      <c r="E14" s="11">
        <f>D14/Parametres!$B$10</f>
        <v/>
      </c>
    </row>
    <row r="15">
      <c r="A15" t="n">
        <v>14</v>
      </c>
      <c r="B15" s="7">
        <f>ROUNDUP(Parametres!$B$7*Parametres!$B$8^(A15-1),0)</f>
        <v/>
      </c>
      <c r="C15" s="7">
        <f>SUM($B$2:B15)</f>
        <v/>
      </c>
      <c r="D15">
        <f>Parametres!$B$9+A15</f>
        <v/>
      </c>
      <c r="E15" s="11">
        <f>D15/Parametres!$B$10</f>
        <v/>
      </c>
    </row>
    <row r="16">
      <c r="A16" t="n">
        <v>15</v>
      </c>
      <c r="B16" s="7">
        <f>ROUNDUP(Parametres!$B$7*Parametres!$B$8^(A16-1),0)</f>
        <v/>
      </c>
      <c r="C16" s="7">
        <f>SUM($B$2:B16)</f>
        <v/>
      </c>
      <c r="D16">
        <f>Parametres!$B$9+A16</f>
        <v/>
      </c>
      <c r="E16" s="11">
        <f>D16/Parametres!$B$10</f>
        <v/>
      </c>
    </row>
    <row r="17">
      <c r="A17" t="n">
        <v>16</v>
      </c>
      <c r="B17" s="7">
        <f>ROUNDUP(Parametres!$B$7*Parametres!$B$8^(A17-1),0)</f>
        <v/>
      </c>
      <c r="C17" s="7">
        <f>SUM($B$2:B17)</f>
        <v/>
      </c>
      <c r="D17">
        <f>Parametres!$B$9+A17</f>
        <v/>
      </c>
      <c r="E17" s="11">
        <f>D17/Parametres!$B$10</f>
        <v/>
      </c>
    </row>
    <row r="18">
      <c r="A18" t="n">
        <v>17</v>
      </c>
      <c r="B18" s="7">
        <f>ROUNDUP(Parametres!$B$7*Parametres!$B$8^(A18-1),0)</f>
        <v/>
      </c>
      <c r="C18" s="7">
        <f>SUM($B$2:B18)</f>
        <v/>
      </c>
      <c r="D18">
        <f>Parametres!$B$9+A18</f>
        <v/>
      </c>
      <c r="E18" s="11">
        <f>D18/Parametres!$B$10</f>
        <v/>
      </c>
    </row>
    <row r="19">
      <c r="A19" t="n">
        <v>18</v>
      </c>
      <c r="B19" s="7">
        <f>ROUNDUP(Parametres!$B$7*Parametres!$B$8^(A19-1),0)</f>
        <v/>
      </c>
      <c r="C19" s="7">
        <f>SUM($B$2:B19)</f>
        <v/>
      </c>
      <c r="D19">
        <f>Parametres!$B$9+A19</f>
        <v/>
      </c>
      <c r="E19" s="11">
        <f>D19/Parametres!$B$10</f>
        <v/>
      </c>
    </row>
    <row r="20">
      <c r="A20" t="n">
        <v>19</v>
      </c>
      <c r="B20" s="7">
        <f>ROUNDUP(Parametres!$B$7*Parametres!$B$8^(A20-1),0)</f>
        <v/>
      </c>
      <c r="C20" s="7">
        <f>SUM($B$2:B20)</f>
        <v/>
      </c>
      <c r="D20">
        <f>Parametres!$B$9+A20</f>
        <v/>
      </c>
      <c r="E20" s="11">
        <f>D20/Parametres!$B$10</f>
        <v/>
      </c>
    </row>
    <row r="21">
      <c r="A21" t="n">
        <v>20</v>
      </c>
      <c r="B21" s="7">
        <f>ROUNDUP(Parametres!$B$7*Parametres!$B$8^(A21-1),0)</f>
        <v/>
      </c>
      <c r="C21" s="7">
        <f>SUM($B$2:B21)</f>
        <v/>
      </c>
      <c r="D21">
        <f>Parametres!$B$9+A21</f>
        <v/>
      </c>
      <c r="E21" s="11">
        <f>D21/Parametres!$B$10</f>
        <v/>
      </c>
    </row>
    <row r="22">
      <c r="A22" t="n">
        <v>21</v>
      </c>
      <c r="B22" s="7">
        <f>ROUNDUP(Parametres!$B$7*Parametres!$B$8^(A22-1),0)</f>
        <v/>
      </c>
      <c r="C22" s="7">
        <f>SUM($B$2:B22)</f>
        <v/>
      </c>
      <c r="D22">
        <f>Parametres!$B$9+A22</f>
        <v/>
      </c>
      <c r="E22" s="11">
        <f>D22/Parametres!$B$10</f>
        <v/>
      </c>
    </row>
    <row r="23">
      <c r="A23" t="n">
        <v>22</v>
      </c>
      <c r="B23" s="7">
        <f>ROUNDUP(Parametres!$B$7*Parametres!$B$8^(A23-1),0)</f>
        <v/>
      </c>
      <c r="C23" s="7">
        <f>SUM($B$2:B23)</f>
        <v/>
      </c>
      <c r="D23">
        <f>Parametres!$B$9+A23</f>
        <v/>
      </c>
      <c r="E23" s="11">
        <f>D23/Parametres!$B$10</f>
        <v/>
      </c>
    </row>
    <row r="24">
      <c r="A24" t="n">
        <v>23</v>
      </c>
      <c r="B24" s="7">
        <f>ROUNDUP(Parametres!$B$7*Parametres!$B$8^(A24-1),0)</f>
        <v/>
      </c>
      <c r="C24" s="7">
        <f>SUM($B$2:B24)</f>
        <v/>
      </c>
      <c r="D24">
        <f>Parametres!$B$9+A24</f>
        <v/>
      </c>
      <c r="E24" s="11">
        <f>D24/Parametres!$B$10</f>
        <v/>
      </c>
    </row>
    <row r="25">
      <c r="A25" t="n">
        <v>24</v>
      </c>
      <c r="B25" s="7">
        <f>ROUNDUP(Parametres!$B$7*Parametres!$B$8^(A25-1),0)</f>
        <v/>
      </c>
      <c r="C25" s="7">
        <f>SUM($B$2:B25)</f>
        <v/>
      </c>
      <c r="D25">
        <f>Parametres!$B$9+A25</f>
        <v/>
      </c>
      <c r="E25" s="11">
        <f>D25/Parametres!$B$10</f>
        <v/>
      </c>
    </row>
    <row r="26">
      <c r="A26" t="n">
        <v>25</v>
      </c>
      <c r="B26" s="7">
        <f>ROUNDUP(Parametres!$B$7*Parametres!$B$8^(A26-1),0)</f>
        <v/>
      </c>
      <c r="C26" s="7">
        <f>SUM($B$2:B26)</f>
        <v/>
      </c>
      <c r="D26">
        <f>Parametres!$B$9+A26</f>
        <v/>
      </c>
      <c r="E26" s="11">
        <f>D26/Parametres!$B$10</f>
        <v/>
      </c>
    </row>
    <row r="27">
      <c r="A27" t="n">
        <v>26</v>
      </c>
      <c r="B27" s="7">
        <f>ROUNDUP(Parametres!$B$7*Parametres!$B$8^(A27-1),0)</f>
        <v/>
      </c>
      <c r="C27" s="7">
        <f>SUM($B$2:B27)</f>
        <v/>
      </c>
      <c r="D27">
        <f>Parametres!$B$9+A27</f>
        <v/>
      </c>
      <c r="E27" s="11">
        <f>D27/Parametres!$B$10</f>
        <v/>
      </c>
    </row>
    <row r="28">
      <c r="A28" t="n">
        <v>27</v>
      </c>
      <c r="B28" s="7">
        <f>ROUNDUP(Parametres!$B$7*Parametres!$B$8^(A28-1),0)</f>
        <v/>
      </c>
      <c r="C28" s="7">
        <f>SUM($B$2:B28)</f>
        <v/>
      </c>
      <c r="D28">
        <f>Parametres!$B$9+A28</f>
        <v/>
      </c>
      <c r="E28" s="11">
        <f>D28/Parametres!$B$10</f>
        <v/>
      </c>
    </row>
    <row r="29">
      <c r="A29" t="n">
        <v>28</v>
      </c>
      <c r="B29" s="7">
        <f>ROUNDUP(Parametres!$B$7*Parametres!$B$8^(A29-1),0)</f>
        <v/>
      </c>
      <c r="C29" s="7">
        <f>SUM($B$2:B29)</f>
        <v/>
      </c>
      <c r="D29">
        <f>Parametres!$B$9+A29</f>
        <v/>
      </c>
      <c r="E29" s="11">
        <f>D29/Parametres!$B$10</f>
        <v/>
      </c>
    </row>
    <row r="30">
      <c r="A30" t="n">
        <v>29</v>
      </c>
      <c r="B30" s="7">
        <f>ROUNDUP(Parametres!$B$7*Parametres!$B$8^(A30-1),0)</f>
        <v/>
      </c>
      <c r="C30" s="7">
        <f>SUM($B$2:B30)</f>
        <v/>
      </c>
      <c r="D30">
        <f>Parametres!$B$9+A30</f>
        <v/>
      </c>
      <c r="E30" s="11">
        <f>D30/Parametres!$B$10</f>
        <v/>
      </c>
    </row>
    <row r="31">
      <c r="A31" t="n">
        <v>30</v>
      </c>
      <c r="B31" s="7">
        <f>ROUNDUP(Parametres!$B$7*Parametres!$B$8^(A31-1),0)</f>
        <v/>
      </c>
      <c r="C31" s="7">
        <f>SUM($B$2:B31)</f>
        <v/>
      </c>
      <c r="D31">
        <f>Parametres!$B$9+A31</f>
        <v/>
      </c>
      <c r="E31" s="11">
        <f>D31/Parametres!$B$10</f>
        <v/>
      </c>
    </row>
    <row r="32">
      <c r="A32" t="n">
        <v>31</v>
      </c>
      <c r="B32" s="7">
        <f>ROUNDUP(Parametres!$B$7*Parametres!$B$8^(A32-1),0)</f>
        <v/>
      </c>
      <c r="C32" s="7">
        <f>SUM($B$2:B32)</f>
        <v/>
      </c>
      <c r="D32">
        <f>Parametres!$B$9+A32</f>
        <v/>
      </c>
      <c r="E32" s="11">
        <f>D32/Parametres!$B$10</f>
        <v/>
      </c>
    </row>
    <row r="33">
      <c r="A33" t="n">
        <v>32</v>
      </c>
      <c r="B33" s="7">
        <f>ROUNDUP(Parametres!$B$7*Parametres!$B$8^(A33-1),0)</f>
        <v/>
      </c>
      <c r="C33" s="7">
        <f>SUM($B$2:B33)</f>
        <v/>
      </c>
      <c r="D33">
        <f>Parametres!$B$9+A33</f>
        <v/>
      </c>
      <c r="E33" s="11">
        <f>D33/Parametres!$B$10</f>
        <v/>
      </c>
    </row>
    <row r="34">
      <c r="A34" t="n">
        <v>33</v>
      </c>
      <c r="B34" s="7">
        <f>ROUNDUP(Parametres!$B$7*Parametres!$B$8^(A34-1),0)</f>
        <v/>
      </c>
      <c r="C34" s="7">
        <f>SUM($B$2:B34)</f>
        <v/>
      </c>
      <c r="D34">
        <f>Parametres!$B$9+A34</f>
        <v/>
      </c>
      <c r="E34" s="11">
        <f>D34/Parametres!$B$10</f>
        <v/>
      </c>
    </row>
    <row r="35">
      <c r="A35" t="n">
        <v>34</v>
      </c>
      <c r="B35" s="7">
        <f>ROUNDUP(Parametres!$B$7*Parametres!$B$8^(A35-1),0)</f>
        <v/>
      </c>
      <c r="C35" s="7">
        <f>SUM($B$2:B35)</f>
        <v/>
      </c>
      <c r="D35">
        <f>Parametres!$B$9+A35</f>
        <v/>
      </c>
      <c r="E35" s="11">
        <f>D35/Parametres!$B$10</f>
        <v/>
      </c>
    </row>
    <row r="36">
      <c r="A36" t="n">
        <v>35</v>
      </c>
      <c r="B36" s="7">
        <f>ROUNDUP(Parametres!$B$7*Parametres!$B$8^(A36-1),0)</f>
        <v/>
      </c>
      <c r="C36" s="7">
        <f>SUM($B$2:B36)</f>
        <v/>
      </c>
      <c r="D36">
        <f>Parametres!$B$9+A36</f>
        <v/>
      </c>
      <c r="E36" s="11">
        <f>D36/Parametres!$B$10</f>
        <v/>
      </c>
    </row>
    <row r="37">
      <c r="A37" t="n">
        <v>36</v>
      </c>
      <c r="B37" s="7">
        <f>ROUNDUP(Parametres!$B$7*Parametres!$B$8^(A37-1),0)</f>
        <v/>
      </c>
      <c r="C37" s="7">
        <f>SUM($B$2:B37)</f>
        <v/>
      </c>
      <c r="D37">
        <f>Parametres!$B$9+A37</f>
        <v/>
      </c>
      <c r="E37" s="11">
        <f>D37/Parametres!$B$10</f>
        <v/>
      </c>
    </row>
    <row r="38">
      <c r="A38" t="n">
        <v>37</v>
      </c>
      <c r="B38" s="7">
        <f>ROUNDUP(Parametres!$B$7*Parametres!$B$8^(A38-1),0)</f>
        <v/>
      </c>
      <c r="C38" s="7">
        <f>SUM($B$2:B38)</f>
        <v/>
      </c>
      <c r="D38">
        <f>Parametres!$B$9+A38</f>
        <v/>
      </c>
      <c r="E38" s="11">
        <f>D38/Parametres!$B$10</f>
        <v/>
      </c>
    </row>
    <row r="39">
      <c r="A39" t="n">
        <v>38</v>
      </c>
      <c r="B39" s="7">
        <f>ROUNDUP(Parametres!$B$7*Parametres!$B$8^(A39-1),0)</f>
        <v/>
      </c>
      <c r="C39" s="7">
        <f>SUM($B$2:B39)</f>
        <v/>
      </c>
      <c r="D39">
        <f>Parametres!$B$9+A39</f>
        <v/>
      </c>
      <c r="E39" s="11">
        <f>D39/Parametres!$B$10</f>
        <v/>
      </c>
    </row>
    <row r="40">
      <c r="A40" t="n">
        <v>39</v>
      </c>
      <c r="B40" s="7">
        <f>ROUNDUP(Parametres!$B$7*Parametres!$B$8^(A40-1),0)</f>
        <v/>
      </c>
      <c r="C40" s="7">
        <f>SUM($B$2:B40)</f>
        <v/>
      </c>
      <c r="D40">
        <f>Parametres!$B$9+A40</f>
        <v/>
      </c>
      <c r="E40" s="11">
        <f>D40/Parametres!$B$10</f>
        <v/>
      </c>
    </row>
    <row r="41">
      <c r="A41" t="n">
        <v>40</v>
      </c>
      <c r="B41" s="7">
        <f>ROUNDUP(Parametres!$B$7*Parametres!$B$8^(A41-1),0)</f>
        <v/>
      </c>
      <c r="C41" s="7">
        <f>SUM($B$2:B41)</f>
        <v/>
      </c>
      <c r="D41">
        <f>Parametres!$B$9+A41</f>
        <v/>
      </c>
      <c r="E41" s="11">
        <f>D41/Parametres!$B$10</f>
        <v/>
      </c>
    </row>
    <row r="42">
      <c r="A42" t="n">
        <v>41</v>
      </c>
      <c r="B42" s="7">
        <f>ROUNDUP(Parametres!$B$7*Parametres!$B$8^(A42-1),0)</f>
        <v/>
      </c>
      <c r="C42" s="7">
        <f>SUM($B$2:B42)</f>
        <v/>
      </c>
      <c r="D42">
        <f>Parametres!$B$9+A42</f>
        <v/>
      </c>
      <c r="E42" s="11">
        <f>D42/Parametres!$B$10</f>
        <v/>
      </c>
    </row>
    <row r="43">
      <c r="A43" t="n">
        <v>42</v>
      </c>
      <c r="B43" s="7">
        <f>ROUNDUP(Parametres!$B$7*Parametres!$B$8^(A43-1),0)</f>
        <v/>
      </c>
      <c r="C43" s="7">
        <f>SUM($B$2:B43)</f>
        <v/>
      </c>
      <c r="D43">
        <f>Parametres!$B$9+A43</f>
        <v/>
      </c>
      <c r="E43" s="11">
        <f>D43/Parametres!$B$10</f>
        <v/>
      </c>
    </row>
    <row r="44">
      <c r="A44" t="n">
        <v>43</v>
      </c>
      <c r="B44" s="7">
        <f>ROUNDUP(Parametres!$B$7*Parametres!$B$8^(A44-1),0)</f>
        <v/>
      </c>
      <c r="C44" s="7">
        <f>SUM($B$2:B44)</f>
        <v/>
      </c>
      <c r="D44">
        <f>Parametres!$B$9+A44</f>
        <v/>
      </c>
      <c r="E44" s="11">
        <f>D44/Parametres!$B$10</f>
        <v/>
      </c>
    </row>
    <row r="45">
      <c r="A45" t="n">
        <v>44</v>
      </c>
      <c r="B45" s="7">
        <f>ROUNDUP(Parametres!$B$7*Parametres!$B$8^(A45-1),0)</f>
        <v/>
      </c>
      <c r="C45" s="7">
        <f>SUM($B$2:B45)</f>
        <v/>
      </c>
      <c r="D45">
        <f>Parametres!$B$9+A45</f>
        <v/>
      </c>
      <c r="E45" s="11">
        <f>D45/Parametres!$B$10</f>
        <v/>
      </c>
    </row>
    <row r="46">
      <c r="A46" t="n">
        <v>45</v>
      </c>
      <c r="B46" s="7">
        <f>ROUNDUP(Parametres!$B$7*Parametres!$B$8^(A46-1),0)</f>
        <v/>
      </c>
      <c r="C46" s="7">
        <f>SUM($B$2:B46)</f>
        <v/>
      </c>
      <c r="D46">
        <f>Parametres!$B$9+A46</f>
        <v/>
      </c>
      <c r="E46" s="11">
        <f>D46/Parametres!$B$10</f>
        <v/>
      </c>
    </row>
    <row r="47">
      <c r="A47" t="n">
        <v>46</v>
      </c>
      <c r="B47" s="7">
        <f>ROUNDUP(Parametres!$B$7*Parametres!$B$8^(A47-1),0)</f>
        <v/>
      </c>
      <c r="C47" s="7">
        <f>SUM($B$2:B47)</f>
        <v/>
      </c>
      <c r="D47">
        <f>Parametres!$B$9+A47</f>
        <v/>
      </c>
      <c r="E47" s="11">
        <f>D47/Parametres!$B$10</f>
        <v/>
      </c>
    </row>
    <row r="48">
      <c r="A48" t="n">
        <v>47</v>
      </c>
      <c r="B48" s="7">
        <f>ROUNDUP(Parametres!$B$7*Parametres!$B$8^(A48-1),0)</f>
        <v/>
      </c>
      <c r="C48" s="7">
        <f>SUM($B$2:B48)</f>
        <v/>
      </c>
      <c r="D48">
        <f>Parametres!$B$9+A48</f>
        <v/>
      </c>
      <c r="E48" s="11">
        <f>D48/Parametres!$B$10</f>
        <v/>
      </c>
    </row>
    <row r="49">
      <c r="A49" t="n">
        <v>48</v>
      </c>
      <c r="B49" s="7">
        <f>ROUNDUP(Parametres!$B$7*Parametres!$B$8^(A49-1),0)</f>
        <v/>
      </c>
      <c r="C49" s="7">
        <f>SUM($B$2:B49)</f>
        <v/>
      </c>
      <c r="D49">
        <f>Parametres!$B$9+A49</f>
        <v/>
      </c>
      <c r="E49" s="11">
        <f>D49/Parametres!$B$10</f>
        <v/>
      </c>
    </row>
    <row r="50">
      <c r="A50" t="n">
        <v>49</v>
      </c>
      <c r="B50" s="7">
        <f>ROUNDUP(Parametres!$B$7*Parametres!$B$8^(A50-1),0)</f>
        <v/>
      </c>
      <c r="C50" s="7">
        <f>SUM($B$2:B50)</f>
        <v/>
      </c>
      <c r="D50">
        <f>Parametres!$B$9+A50</f>
        <v/>
      </c>
      <c r="E50" s="11">
        <f>D50/Parametres!$B$10</f>
        <v/>
      </c>
    </row>
    <row r="51">
      <c r="A51" t="n">
        <v>50</v>
      </c>
      <c r="B51" s="7">
        <f>ROUNDUP(Parametres!$B$7*Parametres!$B$8^(A51-1),0)</f>
        <v/>
      </c>
      <c r="C51" s="7">
        <f>SUM($B$2:B51)</f>
        <v/>
      </c>
      <c r="D51">
        <f>Parametres!$B$9+A51</f>
        <v/>
      </c>
      <c r="E51" s="11">
        <f>D51/Parametres!$B$10</f>
        <v/>
      </c>
    </row>
    <row r="52">
      <c r="A52" t="n">
        <v>51</v>
      </c>
      <c r="B52" s="7">
        <f>ROUNDUP(Parametres!$B$7*Parametres!$B$8^(A52-1),0)</f>
        <v/>
      </c>
      <c r="C52" s="7">
        <f>SUM($B$2:B52)</f>
        <v/>
      </c>
      <c r="D52">
        <f>Parametres!$B$9+A52</f>
        <v/>
      </c>
      <c r="E52" s="11">
        <f>D52/Parametres!$B$10</f>
        <v/>
      </c>
    </row>
    <row r="53">
      <c r="A53" t="n">
        <v>52</v>
      </c>
      <c r="B53" s="7">
        <f>ROUNDUP(Parametres!$B$7*Parametres!$B$8^(A53-1),0)</f>
        <v/>
      </c>
      <c r="C53" s="7">
        <f>SUM($B$2:B53)</f>
        <v/>
      </c>
      <c r="D53">
        <f>Parametres!$B$9+A53</f>
        <v/>
      </c>
      <c r="E53" s="11">
        <f>D53/Parametres!$B$10</f>
        <v/>
      </c>
    </row>
    <row r="54">
      <c r="A54" t="n">
        <v>53</v>
      </c>
      <c r="B54" s="7">
        <f>ROUNDUP(Parametres!$B$7*Parametres!$B$8^(A54-1),0)</f>
        <v/>
      </c>
      <c r="C54" s="7">
        <f>SUM($B$2:B54)</f>
        <v/>
      </c>
      <c r="D54">
        <f>Parametres!$B$9+A54</f>
        <v/>
      </c>
      <c r="E54" s="11">
        <f>D54/Parametres!$B$10</f>
        <v/>
      </c>
    </row>
    <row r="55">
      <c r="A55" t="n">
        <v>54</v>
      </c>
      <c r="B55" s="7">
        <f>ROUNDUP(Parametres!$B$7*Parametres!$B$8^(A55-1),0)</f>
        <v/>
      </c>
      <c r="C55" s="7">
        <f>SUM($B$2:B55)</f>
        <v/>
      </c>
      <c r="D55">
        <f>Parametres!$B$9+A55</f>
        <v/>
      </c>
      <c r="E55" s="11">
        <f>D55/Parametres!$B$10</f>
        <v/>
      </c>
    </row>
    <row r="56">
      <c r="A56" t="n">
        <v>55</v>
      </c>
      <c r="B56" s="7">
        <f>ROUNDUP(Parametres!$B$7*Parametres!$B$8^(A56-1),0)</f>
        <v/>
      </c>
      <c r="C56" s="7">
        <f>SUM($B$2:B56)</f>
        <v/>
      </c>
      <c r="D56">
        <f>Parametres!$B$9+A56</f>
        <v/>
      </c>
      <c r="E56" s="11">
        <f>D56/Parametres!$B$10</f>
        <v/>
      </c>
    </row>
    <row r="57">
      <c r="A57" t="n">
        <v>56</v>
      </c>
      <c r="B57" s="7">
        <f>ROUNDUP(Parametres!$B$7*Parametres!$B$8^(A57-1),0)</f>
        <v/>
      </c>
      <c r="C57" s="7">
        <f>SUM($B$2:B57)</f>
        <v/>
      </c>
      <c r="D57">
        <f>Parametres!$B$9+A57</f>
        <v/>
      </c>
      <c r="E57" s="11">
        <f>D57/Parametres!$B$10</f>
        <v/>
      </c>
    </row>
    <row r="58">
      <c r="A58" t="n">
        <v>57</v>
      </c>
      <c r="B58" s="7">
        <f>ROUNDUP(Parametres!$B$7*Parametres!$B$8^(A58-1),0)</f>
        <v/>
      </c>
      <c r="C58" s="7">
        <f>SUM($B$2:B58)</f>
        <v/>
      </c>
      <c r="D58">
        <f>Parametres!$B$9+A58</f>
        <v/>
      </c>
      <c r="E58" s="11">
        <f>D58/Parametres!$B$10</f>
        <v/>
      </c>
    </row>
    <row r="59">
      <c r="A59" t="n">
        <v>58</v>
      </c>
      <c r="B59" s="7">
        <f>ROUNDUP(Parametres!$B$7*Parametres!$B$8^(A59-1),0)</f>
        <v/>
      </c>
      <c r="C59" s="7">
        <f>SUM($B$2:B59)</f>
        <v/>
      </c>
      <c r="D59">
        <f>Parametres!$B$9+A59</f>
        <v/>
      </c>
      <c r="E59" s="11">
        <f>D59/Parametres!$B$10</f>
        <v/>
      </c>
    </row>
    <row r="60">
      <c r="A60" t="n">
        <v>59</v>
      </c>
      <c r="B60" s="7">
        <f>ROUNDUP(Parametres!$B$7*Parametres!$B$8^(A60-1),0)</f>
        <v/>
      </c>
      <c r="C60" s="7">
        <f>SUM($B$2:B60)</f>
        <v/>
      </c>
      <c r="D60">
        <f>Parametres!$B$9+A60</f>
        <v/>
      </c>
      <c r="E60" s="11">
        <f>D60/Parametres!$B$10</f>
        <v/>
      </c>
    </row>
    <row r="61">
      <c r="A61" t="n">
        <v>60</v>
      </c>
      <c r="B61" s="7">
        <f>ROUNDUP(Parametres!$B$7*Parametres!$B$8^(A61-1),0)</f>
        <v/>
      </c>
      <c r="C61" s="7">
        <f>SUM($B$2:B61)</f>
        <v/>
      </c>
      <c r="D61">
        <f>Parametres!$B$9+A61</f>
        <v/>
      </c>
      <c r="E61" s="11">
        <f>D61/Parametres!$B$10</f>
        <v/>
      </c>
    </row>
    <row r="62">
      <c r="A62" t="n">
        <v>61</v>
      </c>
      <c r="B62" s="7">
        <f>ROUNDUP(Parametres!$B$7*Parametres!$B$8^(A62-1),0)</f>
        <v/>
      </c>
      <c r="C62" s="7">
        <f>SUM($B$2:B62)</f>
        <v/>
      </c>
      <c r="D62">
        <f>Parametres!$B$9+A62</f>
        <v/>
      </c>
      <c r="E62" s="11">
        <f>D62/Parametres!$B$10</f>
        <v/>
      </c>
    </row>
    <row r="63">
      <c r="A63" t="n">
        <v>62</v>
      </c>
      <c r="B63" s="7">
        <f>ROUNDUP(Parametres!$B$7*Parametres!$B$8^(A63-1),0)</f>
        <v/>
      </c>
      <c r="C63" s="7">
        <f>SUM($B$2:B63)</f>
        <v/>
      </c>
      <c r="D63">
        <f>Parametres!$B$9+A63</f>
        <v/>
      </c>
      <c r="E63" s="11">
        <f>D63/Parametres!$B$10</f>
        <v/>
      </c>
    </row>
    <row r="64">
      <c r="A64" t="n">
        <v>63</v>
      </c>
      <c r="B64" s="7">
        <f>ROUNDUP(Parametres!$B$7*Parametres!$B$8^(A64-1),0)</f>
        <v/>
      </c>
      <c r="C64" s="7">
        <f>SUM($B$2:B64)</f>
        <v/>
      </c>
      <c r="D64">
        <f>Parametres!$B$9+A64</f>
        <v/>
      </c>
      <c r="E64" s="11">
        <f>D64/Parametres!$B$10</f>
        <v/>
      </c>
    </row>
    <row r="65">
      <c r="A65" t="n">
        <v>64</v>
      </c>
      <c r="B65" s="7">
        <f>ROUNDUP(Parametres!$B$7*Parametres!$B$8^(A65-1),0)</f>
        <v/>
      </c>
      <c r="C65" s="7">
        <f>SUM($B$2:B65)</f>
        <v/>
      </c>
      <c r="D65">
        <f>Parametres!$B$9+A65</f>
        <v/>
      </c>
      <c r="E65" s="11">
        <f>D65/Parametres!$B$10</f>
        <v/>
      </c>
    </row>
    <row r="66">
      <c r="A66" t="n">
        <v>65</v>
      </c>
      <c r="B66" s="7">
        <f>ROUNDUP(Parametres!$B$7*Parametres!$B$8^(A66-1),0)</f>
        <v/>
      </c>
      <c r="C66" s="7">
        <f>SUM($B$2:B66)</f>
        <v/>
      </c>
      <c r="D66">
        <f>Parametres!$B$9+A66</f>
        <v/>
      </c>
      <c r="E66" s="11">
        <f>D66/Parametres!$B$10</f>
        <v/>
      </c>
    </row>
    <row r="67">
      <c r="A67" t="n">
        <v>66</v>
      </c>
      <c r="B67" s="7">
        <f>ROUNDUP(Parametres!$B$7*Parametres!$B$8^(A67-1),0)</f>
        <v/>
      </c>
      <c r="C67" s="7">
        <f>SUM($B$2:B67)</f>
        <v/>
      </c>
      <c r="D67">
        <f>Parametres!$B$9+A67</f>
        <v/>
      </c>
      <c r="E67" s="11">
        <f>D67/Parametres!$B$10</f>
        <v/>
      </c>
    </row>
    <row r="68">
      <c r="A68" t="n">
        <v>67</v>
      </c>
      <c r="B68" s="7">
        <f>ROUNDUP(Parametres!$B$7*Parametres!$B$8^(A68-1),0)</f>
        <v/>
      </c>
      <c r="C68" s="7">
        <f>SUM($B$2:B68)</f>
        <v/>
      </c>
      <c r="D68">
        <f>Parametres!$B$9+A68</f>
        <v/>
      </c>
      <c r="E68" s="11">
        <f>D68/Parametres!$B$10</f>
        <v/>
      </c>
    </row>
    <row r="69">
      <c r="A69" t="n">
        <v>68</v>
      </c>
      <c r="B69" s="7">
        <f>ROUNDUP(Parametres!$B$7*Parametres!$B$8^(A69-1),0)</f>
        <v/>
      </c>
      <c r="C69" s="7">
        <f>SUM($B$2:B69)</f>
        <v/>
      </c>
      <c r="D69">
        <f>Parametres!$B$9+A69</f>
        <v/>
      </c>
      <c r="E69" s="11">
        <f>D69/Parametres!$B$10</f>
        <v/>
      </c>
    </row>
    <row r="70">
      <c r="A70" t="n">
        <v>69</v>
      </c>
      <c r="B70" s="7">
        <f>ROUNDUP(Parametres!$B$7*Parametres!$B$8^(A70-1),0)</f>
        <v/>
      </c>
      <c r="C70" s="7">
        <f>SUM($B$2:B70)</f>
        <v/>
      </c>
      <c r="D70">
        <f>Parametres!$B$9+A70</f>
        <v/>
      </c>
      <c r="E70" s="11">
        <f>D70/Parametres!$B$10</f>
        <v/>
      </c>
    </row>
    <row r="71">
      <c r="A71" t="n">
        <v>70</v>
      </c>
      <c r="B71" s="7">
        <f>ROUNDUP(Parametres!$B$7*Parametres!$B$8^(A71-1),0)</f>
        <v/>
      </c>
      <c r="C71" s="7">
        <f>SUM($B$2:B71)</f>
        <v/>
      </c>
      <c r="D71">
        <f>Parametres!$B$9+A71</f>
        <v/>
      </c>
      <c r="E71" s="11">
        <f>D71/Parametres!$B$10</f>
        <v/>
      </c>
    </row>
    <row r="72">
      <c r="A72" t="n">
        <v>71</v>
      </c>
      <c r="B72" s="7">
        <f>ROUNDUP(Parametres!$B$7*Parametres!$B$8^(A72-1),0)</f>
        <v/>
      </c>
      <c r="C72" s="7">
        <f>SUM($B$2:B72)</f>
        <v/>
      </c>
      <c r="D72">
        <f>Parametres!$B$9+A72</f>
        <v/>
      </c>
      <c r="E72" s="11">
        <f>D72/Parametres!$B$10</f>
        <v/>
      </c>
    </row>
    <row r="73">
      <c r="A73" t="n">
        <v>72</v>
      </c>
      <c r="B73" s="7">
        <f>ROUNDUP(Parametres!$B$7*Parametres!$B$8^(A73-1),0)</f>
        <v/>
      </c>
      <c r="C73" s="7">
        <f>SUM($B$2:B73)</f>
        <v/>
      </c>
      <c r="D73">
        <f>Parametres!$B$9+A73</f>
        <v/>
      </c>
      <c r="E73" s="11">
        <f>D73/Parametres!$B$10</f>
        <v/>
      </c>
    </row>
    <row r="74">
      <c r="A74" t="n">
        <v>73</v>
      </c>
      <c r="B74" s="7">
        <f>ROUNDUP(Parametres!$B$7*Parametres!$B$8^(A74-1),0)</f>
        <v/>
      </c>
      <c r="C74" s="7">
        <f>SUM($B$2:B74)</f>
        <v/>
      </c>
      <c r="D74">
        <f>Parametres!$B$9+A74</f>
        <v/>
      </c>
      <c r="E74" s="11">
        <f>D74/Parametres!$B$10</f>
        <v/>
      </c>
    </row>
    <row r="75">
      <c r="A75" t="n">
        <v>74</v>
      </c>
      <c r="B75" s="7">
        <f>ROUNDUP(Parametres!$B$7*Parametres!$B$8^(A75-1),0)</f>
        <v/>
      </c>
      <c r="C75" s="7">
        <f>SUM($B$2:B75)</f>
        <v/>
      </c>
      <c r="D75">
        <f>Parametres!$B$9+A75</f>
        <v/>
      </c>
      <c r="E75" s="11">
        <f>D75/Parametres!$B$10</f>
        <v/>
      </c>
    </row>
    <row r="76">
      <c r="A76" t="n">
        <v>75</v>
      </c>
      <c r="B76" s="7">
        <f>ROUNDUP(Parametres!$B$7*Parametres!$B$8^(A76-1),0)</f>
        <v/>
      </c>
      <c r="C76" s="7">
        <f>SUM($B$2:B76)</f>
        <v/>
      </c>
      <c r="D76">
        <f>Parametres!$B$9+A76</f>
        <v/>
      </c>
      <c r="E76" s="11">
        <f>D76/Parametres!$B$10</f>
        <v/>
      </c>
    </row>
    <row r="77">
      <c r="A77" t="n">
        <v>76</v>
      </c>
      <c r="B77" s="7">
        <f>ROUNDUP(Parametres!$B$7*Parametres!$B$8^(A77-1),0)</f>
        <v/>
      </c>
      <c r="C77" s="7">
        <f>SUM($B$2:B77)</f>
        <v/>
      </c>
      <c r="D77">
        <f>Parametres!$B$9+A77</f>
        <v/>
      </c>
      <c r="E77" s="11">
        <f>D77/Parametres!$B$10</f>
        <v/>
      </c>
    </row>
    <row r="78">
      <c r="A78" t="n">
        <v>77</v>
      </c>
      <c r="B78" s="7">
        <f>ROUNDUP(Parametres!$B$7*Parametres!$B$8^(A78-1),0)</f>
        <v/>
      </c>
      <c r="C78" s="7">
        <f>SUM($B$2:B78)</f>
        <v/>
      </c>
      <c r="D78">
        <f>Parametres!$B$9+A78</f>
        <v/>
      </c>
      <c r="E78" s="11">
        <f>D78/Parametres!$B$10</f>
        <v/>
      </c>
    </row>
    <row r="79">
      <c r="A79" t="n">
        <v>78</v>
      </c>
      <c r="B79" s="7">
        <f>ROUNDUP(Parametres!$B$7*Parametres!$B$8^(A79-1),0)</f>
        <v/>
      </c>
      <c r="C79" s="7">
        <f>SUM($B$2:B79)</f>
        <v/>
      </c>
      <c r="D79">
        <f>Parametres!$B$9+A79</f>
        <v/>
      </c>
      <c r="E79" s="11">
        <f>D79/Parametres!$B$10</f>
        <v/>
      </c>
    </row>
    <row r="80">
      <c r="A80" t="n">
        <v>79</v>
      </c>
      <c r="B80" s="7">
        <f>ROUNDUP(Parametres!$B$7*Parametres!$B$8^(A80-1),0)</f>
        <v/>
      </c>
      <c r="C80" s="7">
        <f>SUM($B$2:B80)</f>
        <v/>
      </c>
      <c r="D80">
        <f>Parametres!$B$9+A80</f>
        <v/>
      </c>
      <c r="E80" s="11">
        <f>D80/Parametres!$B$10</f>
        <v/>
      </c>
    </row>
    <row r="81">
      <c r="A81" t="n">
        <v>80</v>
      </c>
      <c r="B81" s="7">
        <f>ROUNDUP(Parametres!$B$7*Parametres!$B$8^(A81-1),0)</f>
        <v/>
      </c>
      <c r="C81" s="7">
        <f>SUM($B$2:B81)</f>
        <v/>
      </c>
      <c r="D81">
        <f>Parametres!$B$9+A81</f>
        <v/>
      </c>
      <c r="E81" s="11">
        <f>D81/Parametres!$B$10</f>
        <v/>
      </c>
    </row>
    <row r="82">
      <c r="A82" t="n">
        <v>81</v>
      </c>
      <c r="B82" s="7">
        <f>ROUNDUP(Parametres!$B$7*Parametres!$B$8^(A82-1),0)</f>
        <v/>
      </c>
      <c r="C82" s="7">
        <f>SUM($B$2:B82)</f>
        <v/>
      </c>
      <c r="D82">
        <f>Parametres!$B$9+A82</f>
        <v/>
      </c>
      <c r="E82" s="11">
        <f>D82/Parametres!$B$10</f>
        <v/>
      </c>
    </row>
    <row r="83">
      <c r="A83" t="n">
        <v>82</v>
      </c>
      <c r="B83" s="7">
        <f>ROUNDUP(Parametres!$B$7*Parametres!$B$8^(A83-1),0)</f>
        <v/>
      </c>
      <c r="C83" s="7">
        <f>SUM($B$2:B83)</f>
        <v/>
      </c>
      <c r="D83">
        <f>Parametres!$B$9+A83</f>
        <v/>
      </c>
      <c r="E83" s="11">
        <f>D83/Parametres!$B$10</f>
        <v/>
      </c>
    </row>
    <row r="84">
      <c r="A84" t="n">
        <v>83</v>
      </c>
      <c r="B84" s="7">
        <f>ROUNDUP(Parametres!$B$7*Parametres!$B$8^(A84-1),0)</f>
        <v/>
      </c>
      <c r="C84" s="7">
        <f>SUM($B$2:B84)</f>
        <v/>
      </c>
      <c r="D84">
        <f>Parametres!$B$9+A84</f>
        <v/>
      </c>
      <c r="E84" s="11">
        <f>D84/Parametres!$B$10</f>
        <v/>
      </c>
    </row>
    <row r="85">
      <c r="A85" t="n">
        <v>84</v>
      </c>
      <c r="B85" s="7">
        <f>ROUNDUP(Parametres!$B$7*Parametres!$B$8^(A85-1),0)</f>
        <v/>
      </c>
      <c r="C85" s="7">
        <f>SUM($B$2:B85)</f>
        <v/>
      </c>
      <c r="D85">
        <f>Parametres!$B$9+A85</f>
        <v/>
      </c>
      <c r="E85" s="11">
        <f>D85/Parametres!$B$10</f>
        <v/>
      </c>
    </row>
    <row r="86">
      <c r="A86" t="n">
        <v>85</v>
      </c>
      <c r="B86" s="7">
        <f>ROUNDUP(Parametres!$B$7*Parametres!$B$8^(A86-1),0)</f>
        <v/>
      </c>
      <c r="C86" s="7">
        <f>SUM($B$2:B86)</f>
        <v/>
      </c>
      <c r="D86">
        <f>Parametres!$B$9+A86</f>
        <v/>
      </c>
      <c r="E86" s="11">
        <f>D86/Parametres!$B$10</f>
        <v/>
      </c>
    </row>
    <row r="87">
      <c r="A87" t="n">
        <v>86</v>
      </c>
      <c r="B87" s="7">
        <f>ROUNDUP(Parametres!$B$7*Parametres!$B$8^(A87-1),0)</f>
        <v/>
      </c>
      <c r="C87" s="7">
        <f>SUM($B$2:B87)</f>
        <v/>
      </c>
      <c r="D87">
        <f>Parametres!$B$9+A87</f>
        <v/>
      </c>
      <c r="E87" s="11">
        <f>D87/Parametres!$B$10</f>
        <v/>
      </c>
    </row>
    <row r="88">
      <c r="A88" t="n">
        <v>87</v>
      </c>
      <c r="B88" s="7">
        <f>ROUNDUP(Parametres!$B$7*Parametres!$B$8^(A88-1),0)</f>
        <v/>
      </c>
      <c r="C88" s="7">
        <f>SUM($B$2:B88)</f>
        <v/>
      </c>
      <c r="D88">
        <f>Parametres!$B$9+A88</f>
        <v/>
      </c>
      <c r="E88" s="11">
        <f>D88/Parametres!$B$10</f>
        <v/>
      </c>
    </row>
    <row r="89">
      <c r="A89" t="n">
        <v>88</v>
      </c>
      <c r="B89" s="7">
        <f>ROUNDUP(Parametres!$B$7*Parametres!$B$8^(A89-1),0)</f>
        <v/>
      </c>
      <c r="C89" s="7">
        <f>SUM($B$2:B89)</f>
        <v/>
      </c>
      <c r="D89">
        <f>Parametres!$B$9+A89</f>
        <v/>
      </c>
      <c r="E89" s="11">
        <f>D89/Parametres!$B$10</f>
        <v/>
      </c>
    </row>
    <row r="90">
      <c r="A90" t="n">
        <v>89</v>
      </c>
      <c r="B90" s="7">
        <f>ROUNDUP(Parametres!$B$7*Parametres!$B$8^(A90-1),0)</f>
        <v/>
      </c>
      <c r="C90" s="7">
        <f>SUM($B$2:B90)</f>
        <v/>
      </c>
      <c r="D90">
        <f>Parametres!$B$9+A90</f>
        <v/>
      </c>
      <c r="E90" s="11">
        <f>D90/Parametres!$B$10</f>
        <v/>
      </c>
    </row>
    <row r="91">
      <c r="A91" t="n">
        <v>90</v>
      </c>
      <c r="B91" s="7">
        <f>ROUNDUP(Parametres!$B$7*Parametres!$B$8^(A91-1),0)</f>
        <v/>
      </c>
      <c r="C91" s="7">
        <f>SUM($B$2:B91)</f>
        <v/>
      </c>
      <c r="D91">
        <f>Parametres!$B$9+A91</f>
        <v/>
      </c>
      <c r="E91" s="11">
        <f>D91/Parametres!$B$10</f>
        <v/>
      </c>
    </row>
    <row r="92">
      <c r="A92" t="n">
        <v>91</v>
      </c>
      <c r="B92" s="7">
        <f>ROUNDUP(Parametres!$B$7*Parametres!$B$8^(A92-1),0)</f>
        <v/>
      </c>
      <c r="C92" s="7">
        <f>SUM($B$2:B92)</f>
        <v/>
      </c>
      <c r="D92">
        <f>Parametres!$B$9+A92</f>
        <v/>
      </c>
      <c r="E92" s="11">
        <f>D92/Parametres!$B$10</f>
        <v/>
      </c>
    </row>
    <row r="93">
      <c r="A93" t="n">
        <v>92</v>
      </c>
      <c r="B93" s="7">
        <f>ROUNDUP(Parametres!$B$7*Parametres!$B$8^(A93-1),0)</f>
        <v/>
      </c>
      <c r="C93" s="7">
        <f>SUM($B$2:B93)</f>
        <v/>
      </c>
      <c r="D93">
        <f>Parametres!$B$9+A93</f>
        <v/>
      </c>
      <c r="E93" s="11">
        <f>D93/Parametres!$B$10</f>
        <v/>
      </c>
    </row>
    <row r="94">
      <c r="A94" t="n">
        <v>93</v>
      </c>
      <c r="B94" s="7">
        <f>ROUNDUP(Parametres!$B$7*Parametres!$B$8^(A94-1),0)</f>
        <v/>
      </c>
      <c r="C94" s="7">
        <f>SUM($B$2:B94)</f>
        <v/>
      </c>
      <c r="D94">
        <f>Parametres!$B$9+A94</f>
        <v/>
      </c>
      <c r="E94" s="11">
        <f>D94/Parametres!$B$10</f>
        <v/>
      </c>
    </row>
    <row r="95">
      <c r="A95" t="n">
        <v>94</v>
      </c>
      <c r="B95" s="7">
        <f>ROUNDUP(Parametres!$B$7*Parametres!$B$8^(A95-1),0)</f>
        <v/>
      </c>
      <c r="C95" s="7">
        <f>SUM($B$2:B95)</f>
        <v/>
      </c>
      <c r="D95">
        <f>Parametres!$B$9+A95</f>
        <v/>
      </c>
      <c r="E95" s="11">
        <f>D95/Parametres!$B$10</f>
        <v/>
      </c>
    </row>
    <row r="96">
      <c r="A96" t="n">
        <v>95</v>
      </c>
      <c r="B96" s="7">
        <f>ROUNDUP(Parametres!$B$7*Parametres!$B$8^(A96-1),0)</f>
        <v/>
      </c>
      <c r="C96" s="7">
        <f>SUM($B$2:B96)</f>
        <v/>
      </c>
      <c r="D96">
        <f>Parametres!$B$9+A96</f>
        <v/>
      </c>
      <c r="E96" s="11">
        <f>D96/Parametres!$B$10</f>
        <v/>
      </c>
    </row>
    <row r="97">
      <c r="A97" t="n">
        <v>96</v>
      </c>
      <c r="B97" s="7">
        <f>ROUNDUP(Parametres!$B$7*Parametres!$B$8^(A97-1),0)</f>
        <v/>
      </c>
      <c r="C97" s="7">
        <f>SUM($B$2:B97)</f>
        <v/>
      </c>
      <c r="D97">
        <f>Parametres!$B$9+A97</f>
        <v/>
      </c>
      <c r="E97" s="11">
        <f>D97/Parametres!$B$10</f>
        <v/>
      </c>
    </row>
    <row r="98">
      <c r="A98" t="n">
        <v>97</v>
      </c>
      <c r="B98" s="7">
        <f>ROUNDUP(Parametres!$B$7*Parametres!$B$8^(A98-1),0)</f>
        <v/>
      </c>
      <c r="C98" s="7">
        <f>SUM($B$2:B98)</f>
        <v/>
      </c>
      <c r="D98">
        <f>Parametres!$B$9+A98</f>
        <v/>
      </c>
      <c r="E98" s="11">
        <f>D98/Parametres!$B$10</f>
        <v/>
      </c>
    </row>
    <row r="99">
      <c r="A99" t="n">
        <v>98</v>
      </c>
      <c r="B99" s="7">
        <f>ROUNDUP(Parametres!$B$7*Parametres!$B$8^(A99-1),0)</f>
        <v/>
      </c>
      <c r="C99" s="7">
        <f>SUM($B$2:B99)</f>
        <v/>
      </c>
      <c r="D99">
        <f>Parametres!$B$9+A99</f>
        <v/>
      </c>
      <c r="E99" s="11">
        <f>D99/Parametres!$B$10</f>
        <v/>
      </c>
    </row>
    <row r="100">
      <c r="A100" t="n">
        <v>99</v>
      </c>
      <c r="B100" s="7">
        <f>ROUNDUP(Parametres!$B$7*Parametres!$B$8^(A100-1),0)</f>
        <v/>
      </c>
      <c r="C100" s="7">
        <f>SUM($B$2:B100)</f>
        <v/>
      </c>
      <c r="D100">
        <f>Parametres!$B$9+A100</f>
        <v/>
      </c>
      <c r="E100" s="11">
        <f>D100/Parametres!$B$10</f>
        <v/>
      </c>
    </row>
    <row r="101">
      <c r="A101" t="n">
        <v>100</v>
      </c>
      <c r="B101" s="7">
        <f>ROUNDUP(Parametres!$B$7*Parametres!$B$8^(A101-1),0)</f>
        <v/>
      </c>
      <c r="C101" s="7">
        <f>SUM($B$2:B101)</f>
        <v/>
      </c>
      <c r="D101">
        <f>Parametres!$B$9+A101</f>
        <v/>
      </c>
      <c r="E101" s="11">
        <f>D101/Parametres!$B$10</f>
        <v/>
      </c>
    </row>
    <row r="102">
      <c r="A102" t="n">
        <v>101</v>
      </c>
      <c r="B102" s="7">
        <f>ROUNDUP(Parametres!$B$7*Parametres!$B$8^(A102-1),0)</f>
        <v/>
      </c>
      <c r="C102" s="7">
        <f>SUM($B$2:B102)</f>
        <v/>
      </c>
      <c r="D102">
        <f>Parametres!$B$9+A102</f>
        <v/>
      </c>
      <c r="E102" s="11">
        <f>D102/Parametres!$B$10</f>
        <v/>
      </c>
    </row>
    <row r="103">
      <c r="A103" t="n">
        <v>102</v>
      </c>
      <c r="B103" s="7">
        <f>ROUNDUP(Parametres!$B$7*Parametres!$B$8^(A103-1),0)</f>
        <v/>
      </c>
      <c r="C103" s="7">
        <f>SUM($B$2:B103)</f>
        <v/>
      </c>
      <c r="D103">
        <f>Parametres!$B$9+A103</f>
        <v/>
      </c>
      <c r="E103" s="11">
        <f>D103/Parametres!$B$10</f>
        <v/>
      </c>
    </row>
    <row r="104">
      <c r="A104" t="n">
        <v>103</v>
      </c>
      <c r="B104" s="7">
        <f>ROUNDUP(Parametres!$B$7*Parametres!$B$8^(A104-1),0)</f>
        <v/>
      </c>
      <c r="C104" s="7">
        <f>SUM($B$2:B104)</f>
        <v/>
      </c>
      <c r="D104">
        <f>Parametres!$B$9+A104</f>
        <v/>
      </c>
      <c r="E104" s="11">
        <f>D104/Parametres!$B$10</f>
        <v/>
      </c>
    </row>
    <row r="105">
      <c r="A105" t="n">
        <v>104</v>
      </c>
      <c r="B105" s="7">
        <f>ROUNDUP(Parametres!$B$7*Parametres!$B$8^(A105-1),0)</f>
        <v/>
      </c>
      <c r="C105" s="7">
        <f>SUM($B$2:B105)</f>
        <v/>
      </c>
      <c r="D105">
        <f>Parametres!$B$9+A105</f>
        <v/>
      </c>
      <c r="E105" s="11">
        <f>D105/Parametres!$B$10</f>
        <v/>
      </c>
    </row>
    <row r="106">
      <c r="A106" t="n">
        <v>105</v>
      </c>
      <c r="B106" s="7">
        <f>ROUNDUP(Parametres!$B$7*Parametres!$B$8^(A106-1),0)</f>
        <v/>
      </c>
      <c r="C106" s="7">
        <f>SUM($B$2:B106)</f>
        <v/>
      </c>
      <c r="D106">
        <f>Parametres!$B$9+A106</f>
        <v/>
      </c>
      <c r="E106" s="11">
        <f>D106/Parametres!$B$10</f>
        <v/>
      </c>
    </row>
    <row r="107">
      <c r="A107" t="n">
        <v>106</v>
      </c>
      <c r="B107" s="7">
        <f>ROUNDUP(Parametres!$B$7*Parametres!$B$8^(A107-1),0)</f>
        <v/>
      </c>
      <c r="C107" s="7">
        <f>SUM($B$2:B107)</f>
        <v/>
      </c>
      <c r="D107">
        <f>Parametres!$B$9+A107</f>
        <v/>
      </c>
      <c r="E107" s="11">
        <f>D107/Parametres!$B$10</f>
        <v/>
      </c>
    </row>
    <row r="108">
      <c r="A108" t="n">
        <v>107</v>
      </c>
      <c r="B108" s="7">
        <f>ROUNDUP(Parametres!$B$7*Parametres!$B$8^(A108-1),0)</f>
        <v/>
      </c>
      <c r="C108" s="7">
        <f>SUM($B$2:B108)</f>
        <v/>
      </c>
      <c r="D108">
        <f>Parametres!$B$9+A108</f>
        <v/>
      </c>
      <c r="E108" s="11">
        <f>D108/Parametres!$B$10</f>
        <v/>
      </c>
    </row>
    <row r="109">
      <c r="A109" t="n">
        <v>108</v>
      </c>
      <c r="B109" s="7">
        <f>ROUNDUP(Parametres!$B$7*Parametres!$B$8^(A109-1),0)</f>
        <v/>
      </c>
      <c r="C109" s="7">
        <f>SUM($B$2:B109)</f>
        <v/>
      </c>
      <c r="D109">
        <f>Parametres!$B$9+A109</f>
        <v/>
      </c>
      <c r="E109" s="11">
        <f>D109/Parametres!$B$10</f>
        <v/>
      </c>
    </row>
    <row r="110">
      <c r="A110" t="n">
        <v>109</v>
      </c>
      <c r="B110" s="7">
        <f>ROUNDUP(Parametres!$B$7*Parametres!$B$8^(A110-1),0)</f>
        <v/>
      </c>
      <c r="C110" s="7">
        <f>SUM($B$2:B110)</f>
        <v/>
      </c>
      <c r="D110">
        <f>Parametres!$B$9+A110</f>
        <v/>
      </c>
      <c r="E110" s="11">
        <f>D110/Parametres!$B$10</f>
        <v/>
      </c>
    </row>
    <row r="111">
      <c r="A111" t="n">
        <v>110</v>
      </c>
      <c r="B111" s="7">
        <f>ROUNDUP(Parametres!$B$7*Parametres!$B$8^(A111-1),0)</f>
        <v/>
      </c>
      <c r="C111" s="7">
        <f>SUM($B$2:B111)</f>
        <v/>
      </c>
      <c r="D111">
        <f>Parametres!$B$9+A111</f>
        <v/>
      </c>
      <c r="E111" s="11">
        <f>D111/Parametres!$B$10</f>
        <v/>
      </c>
    </row>
    <row r="112">
      <c r="A112" t="n">
        <v>111</v>
      </c>
      <c r="B112" s="7">
        <f>ROUNDUP(Parametres!$B$7*Parametres!$B$8^(A112-1),0)</f>
        <v/>
      </c>
      <c r="C112" s="7">
        <f>SUM($B$2:B112)</f>
        <v/>
      </c>
      <c r="D112">
        <f>Parametres!$B$9+A112</f>
        <v/>
      </c>
      <c r="E112" s="11">
        <f>D112/Parametres!$B$10</f>
        <v/>
      </c>
    </row>
    <row r="113">
      <c r="A113" t="n">
        <v>112</v>
      </c>
      <c r="B113" s="7">
        <f>ROUNDUP(Parametres!$B$7*Parametres!$B$8^(A113-1),0)</f>
        <v/>
      </c>
      <c r="C113" s="7">
        <f>SUM($B$2:B113)</f>
        <v/>
      </c>
      <c r="D113">
        <f>Parametres!$B$9+A113</f>
        <v/>
      </c>
      <c r="E113" s="11">
        <f>D113/Parametres!$B$10</f>
        <v/>
      </c>
    </row>
    <row r="114">
      <c r="A114" t="n">
        <v>113</v>
      </c>
      <c r="B114" s="7">
        <f>ROUNDUP(Parametres!$B$7*Parametres!$B$8^(A114-1),0)</f>
        <v/>
      </c>
      <c r="C114" s="7">
        <f>SUM($B$2:B114)</f>
        <v/>
      </c>
      <c r="D114">
        <f>Parametres!$B$9+A114</f>
        <v/>
      </c>
      <c r="E114" s="11">
        <f>D114/Parametres!$B$10</f>
        <v/>
      </c>
    </row>
    <row r="115">
      <c r="A115" t="n">
        <v>114</v>
      </c>
      <c r="B115" s="7">
        <f>ROUNDUP(Parametres!$B$7*Parametres!$B$8^(A115-1),0)</f>
        <v/>
      </c>
      <c r="C115" s="7">
        <f>SUM($B$2:B115)</f>
        <v/>
      </c>
      <c r="D115">
        <f>Parametres!$B$9+A115</f>
        <v/>
      </c>
      <c r="E115" s="11">
        <f>D115/Parametres!$B$10</f>
        <v/>
      </c>
    </row>
    <row r="116">
      <c r="A116" t="n">
        <v>115</v>
      </c>
      <c r="B116" s="7">
        <f>ROUNDUP(Parametres!$B$7*Parametres!$B$8^(A116-1),0)</f>
        <v/>
      </c>
      <c r="C116" s="7">
        <f>SUM($B$2:B116)</f>
        <v/>
      </c>
      <c r="D116">
        <f>Parametres!$B$9+A116</f>
        <v/>
      </c>
      <c r="E116" s="11">
        <f>D116/Parametres!$B$10</f>
        <v/>
      </c>
    </row>
    <row r="117">
      <c r="A117" t="n">
        <v>116</v>
      </c>
      <c r="B117" s="7">
        <f>ROUNDUP(Parametres!$B$7*Parametres!$B$8^(A117-1),0)</f>
        <v/>
      </c>
      <c r="C117" s="7">
        <f>SUM($B$2:B117)</f>
        <v/>
      </c>
      <c r="D117">
        <f>Parametres!$B$9+A117</f>
        <v/>
      </c>
      <c r="E117" s="11">
        <f>D117/Parametres!$B$10</f>
        <v/>
      </c>
    </row>
    <row r="118">
      <c r="A118" t="n">
        <v>117</v>
      </c>
      <c r="B118" s="7">
        <f>ROUNDUP(Parametres!$B$7*Parametres!$B$8^(A118-1),0)</f>
        <v/>
      </c>
      <c r="C118" s="7">
        <f>SUM($B$2:B118)</f>
        <v/>
      </c>
      <c r="D118">
        <f>Parametres!$B$9+A118</f>
        <v/>
      </c>
      <c r="E118" s="11">
        <f>D118/Parametres!$B$10</f>
        <v/>
      </c>
    </row>
    <row r="119">
      <c r="A119" t="n">
        <v>118</v>
      </c>
      <c r="B119" s="7">
        <f>ROUNDUP(Parametres!$B$7*Parametres!$B$8^(A119-1),0)</f>
        <v/>
      </c>
      <c r="C119" s="7">
        <f>SUM($B$2:B119)</f>
        <v/>
      </c>
      <c r="D119">
        <f>Parametres!$B$9+A119</f>
        <v/>
      </c>
      <c r="E119" s="11">
        <f>D119/Parametres!$B$10</f>
        <v/>
      </c>
    </row>
    <row r="120">
      <c r="A120" t="n">
        <v>119</v>
      </c>
      <c r="B120" s="7">
        <f>ROUNDUP(Parametres!$B$7*Parametres!$B$8^(A120-1),0)</f>
        <v/>
      </c>
      <c r="C120" s="7">
        <f>SUM($B$2:B120)</f>
        <v/>
      </c>
      <c r="D120">
        <f>Parametres!$B$9+A120</f>
        <v/>
      </c>
      <c r="E120" s="11">
        <f>D120/Parametres!$B$10</f>
        <v/>
      </c>
    </row>
    <row r="121">
      <c r="A121" t="n">
        <v>120</v>
      </c>
      <c r="B121" s="7">
        <f>ROUNDUP(Parametres!$B$7*Parametres!$B$8^(A121-1),0)</f>
        <v/>
      </c>
      <c r="C121" s="7">
        <f>SUM($B$2:B121)</f>
        <v/>
      </c>
      <c r="D121">
        <f>Parametres!$B$9+A121</f>
        <v/>
      </c>
      <c r="E121" s="11">
        <f>D121/Parametres!$B$10</f>
        <v/>
      </c>
    </row>
    <row r="122">
      <c r="A122" t="n">
        <v>121</v>
      </c>
      <c r="B122" s="7">
        <f>ROUNDUP(Parametres!$B$7*Parametres!$B$8^(A122-1),0)</f>
        <v/>
      </c>
      <c r="C122" s="7">
        <f>SUM($B$2:B122)</f>
        <v/>
      </c>
      <c r="D122">
        <f>Parametres!$B$9+A122</f>
        <v/>
      </c>
      <c r="E122" s="11">
        <f>D122/Parametres!$B$10</f>
        <v/>
      </c>
    </row>
    <row r="123">
      <c r="A123" t="n">
        <v>122</v>
      </c>
      <c r="B123" s="7">
        <f>ROUNDUP(Parametres!$B$7*Parametres!$B$8^(A123-1),0)</f>
        <v/>
      </c>
      <c r="C123" s="7">
        <f>SUM($B$2:B123)</f>
        <v/>
      </c>
      <c r="D123">
        <f>Parametres!$B$9+A123</f>
        <v/>
      </c>
      <c r="E123" s="11">
        <f>D123/Parametres!$B$10</f>
        <v/>
      </c>
    </row>
    <row r="124">
      <c r="A124" t="n">
        <v>123</v>
      </c>
      <c r="B124" s="7">
        <f>ROUNDUP(Parametres!$B$7*Parametres!$B$8^(A124-1),0)</f>
        <v/>
      </c>
      <c r="C124" s="7">
        <f>SUM($B$2:B124)</f>
        <v/>
      </c>
      <c r="D124">
        <f>Parametres!$B$9+A124</f>
        <v/>
      </c>
      <c r="E124" s="11">
        <f>D124/Parametres!$B$10</f>
        <v/>
      </c>
    </row>
    <row r="125">
      <c r="A125" t="n">
        <v>124</v>
      </c>
      <c r="B125" s="7">
        <f>ROUNDUP(Parametres!$B$7*Parametres!$B$8^(A125-1),0)</f>
        <v/>
      </c>
      <c r="C125" s="7">
        <f>SUM($B$2:B125)</f>
        <v/>
      </c>
      <c r="D125">
        <f>Parametres!$B$9+A125</f>
        <v/>
      </c>
      <c r="E125" s="11">
        <f>D125/Parametres!$B$10</f>
        <v/>
      </c>
    </row>
    <row r="126">
      <c r="A126" t="n">
        <v>125</v>
      </c>
      <c r="B126" s="7">
        <f>ROUNDUP(Parametres!$B$7*Parametres!$B$8^(A126-1),0)</f>
        <v/>
      </c>
      <c r="C126" s="7">
        <f>SUM($B$2:B126)</f>
        <v/>
      </c>
      <c r="D126">
        <f>Parametres!$B$9+A126</f>
        <v/>
      </c>
      <c r="E126" s="11">
        <f>D126/Parametres!$B$10</f>
        <v/>
      </c>
    </row>
    <row r="127">
      <c r="A127" t="n">
        <v>126</v>
      </c>
      <c r="B127" s="7">
        <f>ROUNDUP(Parametres!$B$7*Parametres!$B$8^(A127-1),0)</f>
        <v/>
      </c>
      <c r="C127" s="7">
        <f>SUM($B$2:B127)</f>
        <v/>
      </c>
      <c r="D127">
        <f>Parametres!$B$9+A127</f>
        <v/>
      </c>
      <c r="E127" s="11">
        <f>D127/Parametres!$B$10</f>
        <v/>
      </c>
    </row>
    <row r="128">
      <c r="A128" t="n">
        <v>127</v>
      </c>
      <c r="B128" s="7">
        <f>ROUNDUP(Parametres!$B$7*Parametres!$B$8^(A128-1),0)</f>
        <v/>
      </c>
      <c r="C128" s="7">
        <f>SUM($B$2:B128)</f>
        <v/>
      </c>
      <c r="D128">
        <f>Parametres!$B$9+A128</f>
        <v/>
      </c>
      <c r="E128" s="11">
        <f>D128/Parametres!$B$10</f>
        <v/>
      </c>
    </row>
    <row r="129">
      <c r="A129" t="n">
        <v>128</v>
      </c>
      <c r="B129" s="7">
        <f>ROUNDUP(Parametres!$B$7*Parametres!$B$8^(A129-1),0)</f>
        <v/>
      </c>
      <c r="C129" s="7">
        <f>SUM($B$2:B129)</f>
        <v/>
      </c>
      <c r="D129">
        <f>Parametres!$B$9+A129</f>
        <v/>
      </c>
      <c r="E129" s="11">
        <f>D129/Parametres!$B$10</f>
        <v/>
      </c>
    </row>
    <row r="130">
      <c r="A130" t="n">
        <v>129</v>
      </c>
      <c r="B130" s="7">
        <f>ROUNDUP(Parametres!$B$7*Parametres!$B$8^(A130-1),0)</f>
        <v/>
      </c>
      <c r="C130" s="7">
        <f>SUM($B$2:B130)</f>
        <v/>
      </c>
      <c r="D130">
        <f>Parametres!$B$9+A130</f>
        <v/>
      </c>
      <c r="E130" s="11">
        <f>D130/Parametres!$B$10</f>
        <v/>
      </c>
    </row>
    <row r="131">
      <c r="A131" t="n">
        <v>130</v>
      </c>
      <c r="B131" s="7">
        <f>ROUNDUP(Parametres!$B$7*Parametres!$B$8^(A131-1),0)</f>
        <v/>
      </c>
      <c r="C131" s="7">
        <f>SUM($B$2:B131)</f>
        <v/>
      </c>
      <c r="D131">
        <f>Parametres!$B$9+A131</f>
        <v/>
      </c>
      <c r="E131" s="11">
        <f>D131/Parametres!$B$10</f>
        <v/>
      </c>
    </row>
    <row r="132">
      <c r="A132" t="n">
        <v>131</v>
      </c>
      <c r="B132" s="7">
        <f>ROUNDUP(Parametres!$B$7*Parametres!$B$8^(A132-1),0)</f>
        <v/>
      </c>
      <c r="C132" s="7">
        <f>SUM($B$2:B132)</f>
        <v/>
      </c>
      <c r="D132">
        <f>Parametres!$B$9+A132</f>
        <v/>
      </c>
      <c r="E132" s="11">
        <f>D132/Parametres!$B$10</f>
        <v/>
      </c>
    </row>
    <row r="133">
      <c r="A133" t="n">
        <v>132</v>
      </c>
      <c r="B133" s="7">
        <f>ROUNDUP(Parametres!$B$7*Parametres!$B$8^(A133-1),0)</f>
        <v/>
      </c>
      <c r="C133" s="7">
        <f>SUM($B$2:B133)</f>
        <v/>
      </c>
      <c r="D133">
        <f>Parametres!$B$9+A133</f>
        <v/>
      </c>
      <c r="E133" s="11">
        <f>D133/Parametres!$B$10</f>
        <v/>
      </c>
    </row>
    <row r="134">
      <c r="A134" t="n">
        <v>133</v>
      </c>
      <c r="B134" s="7">
        <f>ROUNDUP(Parametres!$B$7*Parametres!$B$8^(A134-1),0)</f>
        <v/>
      </c>
      <c r="C134" s="7">
        <f>SUM($B$2:B134)</f>
        <v/>
      </c>
      <c r="D134">
        <f>Parametres!$B$9+A134</f>
        <v/>
      </c>
      <c r="E134" s="11">
        <f>D134/Parametres!$B$10</f>
        <v/>
      </c>
    </row>
    <row r="135">
      <c r="A135" t="n">
        <v>134</v>
      </c>
      <c r="B135" s="7">
        <f>ROUNDUP(Parametres!$B$7*Parametres!$B$8^(A135-1),0)</f>
        <v/>
      </c>
      <c r="C135" s="7">
        <f>SUM($B$2:B135)</f>
        <v/>
      </c>
      <c r="D135">
        <f>Parametres!$B$9+A135</f>
        <v/>
      </c>
      <c r="E135" s="11">
        <f>D135/Parametres!$B$10</f>
        <v/>
      </c>
    </row>
    <row r="136">
      <c r="A136" t="n">
        <v>135</v>
      </c>
      <c r="B136" s="7">
        <f>ROUNDUP(Parametres!$B$7*Parametres!$B$8^(A136-1),0)</f>
        <v/>
      </c>
      <c r="C136" s="7">
        <f>SUM($B$2:B136)</f>
        <v/>
      </c>
      <c r="D136">
        <f>Parametres!$B$9+A136</f>
        <v/>
      </c>
      <c r="E136" s="11">
        <f>D136/Parametres!$B$10</f>
        <v/>
      </c>
    </row>
    <row r="137">
      <c r="A137" t="n">
        <v>136</v>
      </c>
      <c r="B137" s="7">
        <f>ROUNDUP(Parametres!$B$7*Parametres!$B$8^(A137-1),0)</f>
        <v/>
      </c>
      <c r="C137" s="7">
        <f>SUM($B$2:B137)</f>
        <v/>
      </c>
      <c r="D137">
        <f>Parametres!$B$9+A137</f>
        <v/>
      </c>
      <c r="E137" s="11">
        <f>D137/Parametres!$B$10</f>
        <v/>
      </c>
    </row>
    <row r="138">
      <c r="A138" t="n">
        <v>137</v>
      </c>
      <c r="B138" s="7">
        <f>ROUNDUP(Parametres!$B$7*Parametres!$B$8^(A138-1),0)</f>
        <v/>
      </c>
      <c r="C138" s="7">
        <f>SUM($B$2:B138)</f>
        <v/>
      </c>
      <c r="D138">
        <f>Parametres!$B$9+A138</f>
        <v/>
      </c>
      <c r="E138" s="11">
        <f>D138/Parametres!$B$10</f>
        <v/>
      </c>
    </row>
    <row r="139">
      <c r="A139" t="n">
        <v>138</v>
      </c>
      <c r="B139" s="7">
        <f>ROUNDUP(Parametres!$B$7*Parametres!$B$8^(A139-1),0)</f>
        <v/>
      </c>
      <c r="C139" s="7">
        <f>SUM($B$2:B139)</f>
        <v/>
      </c>
      <c r="D139">
        <f>Parametres!$B$9+A139</f>
        <v/>
      </c>
      <c r="E139" s="11">
        <f>D139/Parametres!$B$10</f>
        <v/>
      </c>
    </row>
    <row r="140">
      <c r="A140" t="n">
        <v>139</v>
      </c>
      <c r="B140" s="7">
        <f>ROUNDUP(Parametres!$B$7*Parametres!$B$8^(A140-1),0)</f>
        <v/>
      </c>
      <c r="C140" s="7">
        <f>SUM($B$2:B140)</f>
        <v/>
      </c>
      <c r="D140">
        <f>Parametres!$B$9+A140</f>
        <v/>
      </c>
      <c r="E140" s="11">
        <f>D140/Parametres!$B$10</f>
        <v/>
      </c>
    </row>
    <row r="141">
      <c r="A141" t="n">
        <v>140</v>
      </c>
      <c r="B141" s="7">
        <f>ROUNDUP(Parametres!$B$7*Parametres!$B$8^(A141-1),0)</f>
        <v/>
      </c>
      <c r="C141" s="7">
        <f>SUM($B$2:B141)</f>
        <v/>
      </c>
      <c r="D141">
        <f>Parametres!$B$9+A141</f>
        <v/>
      </c>
      <c r="E141" s="11">
        <f>D141/Parametres!$B$10</f>
        <v/>
      </c>
    </row>
    <row r="142">
      <c r="A142" t="n">
        <v>141</v>
      </c>
      <c r="B142" s="7">
        <f>ROUNDUP(Parametres!$B$7*Parametres!$B$8^(A142-1),0)</f>
        <v/>
      </c>
      <c r="C142" s="7">
        <f>SUM($B$2:B142)</f>
        <v/>
      </c>
      <c r="D142">
        <f>Parametres!$B$9+A142</f>
        <v/>
      </c>
      <c r="E142" s="11">
        <f>D142/Parametres!$B$10</f>
        <v/>
      </c>
    </row>
    <row r="143">
      <c r="A143" t="n">
        <v>142</v>
      </c>
      <c r="B143" s="7">
        <f>ROUNDUP(Parametres!$B$7*Parametres!$B$8^(A143-1),0)</f>
        <v/>
      </c>
      <c r="C143" s="7">
        <f>SUM($B$2:B143)</f>
        <v/>
      </c>
      <c r="D143">
        <f>Parametres!$B$9+A143</f>
        <v/>
      </c>
      <c r="E143" s="11">
        <f>D143/Parametres!$B$10</f>
        <v/>
      </c>
    </row>
    <row r="144">
      <c r="A144" t="n">
        <v>143</v>
      </c>
      <c r="B144" s="7">
        <f>ROUNDUP(Parametres!$B$7*Parametres!$B$8^(A144-1),0)</f>
        <v/>
      </c>
      <c r="C144" s="7">
        <f>SUM($B$2:B144)</f>
        <v/>
      </c>
      <c r="D144">
        <f>Parametres!$B$9+A144</f>
        <v/>
      </c>
      <c r="E144" s="11">
        <f>D144/Parametres!$B$10</f>
        <v/>
      </c>
    </row>
    <row r="145">
      <c r="A145" t="n">
        <v>144</v>
      </c>
      <c r="B145" s="7">
        <f>ROUNDUP(Parametres!$B$7*Parametres!$B$8^(A145-1),0)</f>
        <v/>
      </c>
      <c r="C145" s="7">
        <f>SUM($B$2:B145)</f>
        <v/>
      </c>
      <c r="D145">
        <f>Parametres!$B$9+A145</f>
        <v/>
      </c>
      <c r="E145" s="11">
        <f>D145/Parametres!$B$10</f>
        <v/>
      </c>
    </row>
    <row r="146">
      <c r="A146" t="n">
        <v>145</v>
      </c>
      <c r="B146" s="7">
        <f>ROUNDUP(Parametres!$B$7*Parametres!$B$8^(A146-1),0)</f>
        <v/>
      </c>
      <c r="C146" s="7">
        <f>SUM($B$2:B146)</f>
        <v/>
      </c>
      <c r="D146">
        <f>Parametres!$B$9+A146</f>
        <v/>
      </c>
      <c r="E146" s="11">
        <f>D146/Parametres!$B$10</f>
        <v/>
      </c>
    </row>
    <row r="147">
      <c r="A147" t="n">
        <v>146</v>
      </c>
      <c r="B147" s="7">
        <f>ROUNDUP(Parametres!$B$7*Parametres!$B$8^(A147-1),0)</f>
        <v/>
      </c>
      <c r="C147" s="7">
        <f>SUM($B$2:B147)</f>
        <v/>
      </c>
      <c r="D147">
        <f>Parametres!$B$9+A147</f>
        <v/>
      </c>
      <c r="E147" s="11">
        <f>D147/Parametres!$B$10</f>
        <v/>
      </c>
    </row>
    <row r="148">
      <c r="A148" t="n">
        <v>147</v>
      </c>
      <c r="B148" s="7">
        <f>ROUNDUP(Parametres!$B$7*Parametres!$B$8^(A148-1),0)</f>
        <v/>
      </c>
      <c r="C148" s="7">
        <f>SUM($B$2:B148)</f>
        <v/>
      </c>
      <c r="D148">
        <f>Parametres!$B$9+A148</f>
        <v/>
      </c>
      <c r="E148" s="11">
        <f>D148/Parametres!$B$10</f>
        <v/>
      </c>
    </row>
    <row r="149">
      <c r="A149" t="n">
        <v>148</v>
      </c>
      <c r="B149" s="7">
        <f>ROUNDUP(Parametres!$B$7*Parametres!$B$8^(A149-1),0)</f>
        <v/>
      </c>
      <c r="C149" s="7">
        <f>SUM($B$2:B149)</f>
        <v/>
      </c>
      <c r="D149">
        <f>Parametres!$B$9+A149</f>
        <v/>
      </c>
      <c r="E149" s="11">
        <f>D149/Parametres!$B$10</f>
        <v/>
      </c>
    </row>
    <row r="150">
      <c r="A150" t="n">
        <v>149</v>
      </c>
      <c r="B150" s="7">
        <f>ROUNDUP(Parametres!$B$7*Parametres!$B$8^(A150-1),0)</f>
        <v/>
      </c>
      <c r="C150" s="7">
        <f>SUM($B$2:B150)</f>
        <v/>
      </c>
      <c r="D150">
        <f>Parametres!$B$9+A150</f>
        <v/>
      </c>
      <c r="E150" s="11">
        <f>D150/Parametres!$B$10</f>
        <v/>
      </c>
    </row>
    <row r="151">
      <c r="A151" t="n">
        <v>150</v>
      </c>
      <c r="B151" s="7">
        <f>ROUNDUP(Parametres!$B$7*Parametres!$B$8^(A151-1),0)</f>
        <v/>
      </c>
      <c r="C151" s="7">
        <f>SUM($B$2:B151)</f>
        <v/>
      </c>
      <c r="D151">
        <f>Parametres!$B$9+A151</f>
        <v/>
      </c>
      <c r="E151" s="11">
        <f>D151/Parametres!$B$10</f>
        <v/>
      </c>
    </row>
    <row r="152">
      <c r="A152" t="n">
        <v>151</v>
      </c>
      <c r="B152" s="7">
        <f>ROUNDUP(Parametres!$B$7*Parametres!$B$8^(A152-1),0)</f>
        <v/>
      </c>
      <c r="C152" s="7">
        <f>SUM($B$2:B152)</f>
        <v/>
      </c>
      <c r="D152">
        <f>Parametres!$B$9+A152</f>
        <v/>
      </c>
      <c r="E152" s="11">
        <f>D152/Parametres!$B$10</f>
        <v/>
      </c>
    </row>
    <row r="153">
      <c r="A153" t="n">
        <v>152</v>
      </c>
      <c r="B153" s="7">
        <f>ROUNDUP(Parametres!$B$7*Parametres!$B$8^(A153-1),0)</f>
        <v/>
      </c>
      <c r="C153" s="7">
        <f>SUM($B$2:B153)</f>
        <v/>
      </c>
      <c r="D153">
        <f>Parametres!$B$9+A153</f>
        <v/>
      </c>
      <c r="E153" s="11">
        <f>D153/Parametres!$B$10</f>
        <v/>
      </c>
    </row>
    <row r="154">
      <c r="A154" t="n">
        <v>153</v>
      </c>
      <c r="B154" s="7">
        <f>ROUNDUP(Parametres!$B$7*Parametres!$B$8^(A154-1),0)</f>
        <v/>
      </c>
      <c r="C154" s="7">
        <f>SUM($B$2:B154)</f>
        <v/>
      </c>
      <c r="D154">
        <f>Parametres!$B$9+A154</f>
        <v/>
      </c>
      <c r="E154" s="11">
        <f>D154/Parametres!$B$10</f>
        <v/>
      </c>
    </row>
    <row r="155">
      <c r="A155" t="n">
        <v>154</v>
      </c>
      <c r="B155" s="7">
        <f>ROUNDUP(Parametres!$B$7*Parametres!$B$8^(A155-1),0)</f>
        <v/>
      </c>
      <c r="C155" s="7">
        <f>SUM($B$2:B155)</f>
        <v/>
      </c>
      <c r="D155">
        <f>Parametres!$B$9+A155</f>
        <v/>
      </c>
      <c r="E155" s="11">
        <f>D155/Parametres!$B$10</f>
        <v/>
      </c>
    </row>
    <row r="156">
      <c r="A156" t="n">
        <v>155</v>
      </c>
      <c r="B156" s="7">
        <f>ROUNDUP(Parametres!$B$7*Parametres!$B$8^(A156-1),0)</f>
        <v/>
      </c>
      <c r="C156" s="7">
        <f>SUM($B$2:B156)</f>
        <v/>
      </c>
      <c r="D156">
        <f>Parametres!$B$9+A156</f>
        <v/>
      </c>
      <c r="E156" s="11">
        <f>D156/Parametres!$B$10</f>
        <v/>
      </c>
    </row>
    <row r="157">
      <c r="A157" t="n">
        <v>156</v>
      </c>
      <c r="B157" s="7">
        <f>ROUNDUP(Parametres!$B$7*Parametres!$B$8^(A157-1),0)</f>
        <v/>
      </c>
      <c r="C157" s="7">
        <f>SUM($B$2:B157)</f>
        <v/>
      </c>
      <c r="D157">
        <f>Parametres!$B$9+A157</f>
        <v/>
      </c>
      <c r="E157" s="11">
        <f>D157/Parametres!$B$10</f>
        <v/>
      </c>
    </row>
    <row r="158">
      <c r="A158" t="n">
        <v>157</v>
      </c>
      <c r="B158" s="7">
        <f>ROUNDUP(Parametres!$B$7*Parametres!$B$8^(A158-1),0)</f>
        <v/>
      </c>
      <c r="C158" s="7">
        <f>SUM($B$2:B158)</f>
        <v/>
      </c>
      <c r="D158">
        <f>Parametres!$B$9+A158</f>
        <v/>
      </c>
      <c r="E158" s="11">
        <f>D158/Parametres!$B$10</f>
        <v/>
      </c>
    </row>
    <row r="159">
      <c r="A159" t="n">
        <v>158</v>
      </c>
      <c r="B159" s="7">
        <f>ROUNDUP(Parametres!$B$7*Parametres!$B$8^(A159-1),0)</f>
        <v/>
      </c>
      <c r="C159" s="7">
        <f>SUM($B$2:B159)</f>
        <v/>
      </c>
      <c r="D159">
        <f>Parametres!$B$9+A159</f>
        <v/>
      </c>
      <c r="E159" s="11">
        <f>D159/Parametres!$B$10</f>
        <v/>
      </c>
    </row>
    <row r="160">
      <c r="A160" t="n">
        <v>159</v>
      </c>
      <c r="B160" s="7">
        <f>ROUNDUP(Parametres!$B$7*Parametres!$B$8^(A160-1),0)</f>
        <v/>
      </c>
      <c r="C160" s="7">
        <f>SUM($B$2:B160)</f>
        <v/>
      </c>
      <c r="D160">
        <f>Parametres!$B$9+A160</f>
        <v/>
      </c>
      <c r="E160" s="11">
        <f>D160/Parametres!$B$10</f>
        <v/>
      </c>
    </row>
    <row r="161">
      <c r="A161" t="n">
        <v>160</v>
      </c>
      <c r="B161" s="7">
        <f>ROUNDUP(Parametres!$B$7*Parametres!$B$8^(A161-1),0)</f>
        <v/>
      </c>
      <c r="C161" s="7">
        <f>SUM($B$2:B161)</f>
        <v/>
      </c>
      <c r="D161">
        <f>Parametres!$B$9+A161</f>
        <v/>
      </c>
      <c r="E161" s="11">
        <f>D161/Parametres!$B$10</f>
        <v/>
      </c>
    </row>
    <row r="162">
      <c r="A162" t="n">
        <v>161</v>
      </c>
      <c r="B162" s="7">
        <f>ROUNDUP(Parametres!$B$7*Parametres!$B$8^(A162-1),0)</f>
        <v/>
      </c>
      <c r="C162" s="7">
        <f>SUM($B$2:B162)</f>
        <v/>
      </c>
      <c r="D162">
        <f>Parametres!$B$9+A162</f>
        <v/>
      </c>
      <c r="E162" s="11">
        <f>D162/Parametres!$B$10</f>
        <v/>
      </c>
    </row>
    <row r="163">
      <c r="A163" t="n">
        <v>162</v>
      </c>
      <c r="B163" s="7">
        <f>ROUNDUP(Parametres!$B$7*Parametres!$B$8^(A163-1),0)</f>
        <v/>
      </c>
      <c r="C163" s="7">
        <f>SUM($B$2:B163)</f>
        <v/>
      </c>
      <c r="D163">
        <f>Parametres!$B$9+A163</f>
        <v/>
      </c>
      <c r="E163" s="11">
        <f>D163/Parametres!$B$10</f>
        <v/>
      </c>
    </row>
    <row r="164">
      <c r="A164" t="n">
        <v>163</v>
      </c>
      <c r="B164" s="7">
        <f>ROUNDUP(Parametres!$B$7*Parametres!$B$8^(A164-1),0)</f>
        <v/>
      </c>
      <c r="C164" s="7">
        <f>SUM($B$2:B164)</f>
        <v/>
      </c>
      <c r="D164">
        <f>Parametres!$B$9+A164</f>
        <v/>
      </c>
      <c r="E164" s="11">
        <f>D164/Parametres!$B$10</f>
        <v/>
      </c>
    </row>
    <row r="165">
      <c r="A165" t="n">
        <v>164</v>
      </c>
      <c r="B165" s="7">
        <f>ROUNDUP(Parametres!$B$7*Parametres!$B$8^(A165-1),0)</f>
        <v/>
      </c>
      <c r="C165" s="7">
        <f>SUM($B$2:B165)</f>
        <v/>
      </c>
      <c r="D165">
        <f>Parametres!$B$9+A165</f>
        <v/>
      </c>
      <c r="E165" s="11">
        <f>D165/Parametres!$B$10</f>
        <v/>
      </c>
    </row>
    <row r="166">
      <c r="A166" t="n">
        <v>165</v>
      </c>
      <c r="B166" s="7">
        <f>ROUNDUP(Parametres!$B$7*Parametres!$B$8^(A166-1),0)</f>
        <v/>
      </c>
      <c r="C166" s="7">
        <f>SUM($B$2:B166)</f>
        <v/>
      </c>
      <c r="D166">
        <f>Parametres!$B$9+A166</f>
        <v/>
      </c>
      <c r="E166" s="11">
        <f>D166/Parametres!$B$10</f>
        <v/>
      </c>
    </row>
    <row r="167">
      <c r="A167" t="n">
        <v>166</v>
      </c>
      <c r="B167" s="7">
        <f>ROUNDUP(Parametres!$B$7*Parametres!$B$8^(A167-1),0)</f>
        <v/>
      </c>
      <c r="C167" s="7">
        <f>SUM($B$2:B167)</f>
        <v/>
      </c>
      <c r="D167">
        <f>Parametres!$B$9+A167</f>
        <v/>
      </c>
      <c r="E167" s="11">
        <f>D167/Parametres!$B$10</f>
        <v/>
      </c>
    </row>
    <row r="168">
      <c r="A168" t="n">
        <v>167</v>
      </c>
      <c r="B168" s="7">
        <f>ROUNDUP(Parametres!$B$7*Parametres!$B$8^(A168-1),0)</f>
        <v/>
      </c>
      <c r="C168" s="7">
        <f>SUM($B$2:B168)</f>
        <v/>
      </c>
      <c r="D168">
        <f>Parametres!$B$9+A168</f>
        <v/>
      </c>
      <c r="E168" s="11">
        <f>D168/Parametres!$B$10</f>
        <v/>
      </c>
    </row>
    <row r="169">
      <c r="A169" t="n">
        <v>168</v>
      </c>
      <c r="B169" s="7">
        <f>ROUNDUP(Parametres!$B$7*Parametres!$B$8^(A169-1),0)</f>
        <v/>
      </c>
      <c r="C169" s="7">
        <f>SUM($B$2:B169)</f>
        <v/>
      </c>
      <c r="D169">
        <f>Parametres!$B$9+A169</f>
        <v/>
      </c>
      <c r="E169" s="11">
        <f>D169/Parametres!$B$10</f>
        <v/>
      </c>
    </row>
    <row r="170">
      <c r="A170" t="n">
        <v>169</v>
      </c>
      <c r="B170" s="7">
        <f>ROUNDUP(Parametres!$B$7*Parametres!$B$8^(A170-1),0)</f>
        <v/>
      </c>
      <c r="C170" s="7">
        <f>SUM($B$2:B170)</f>
        <v/>
      </c>
      <c r="D170">
        <f>Parametres!$B$9+A170</f>
        <v/>
      </c>
      <c r="E170" s="11">
        <f>D170/Parametres!$B$10</f>
        <v/>
      </c>
    </row>
    <row r="171">
      <c r="A171" t="n">
        <v>170</v>
      </c>
      <c r="B171" s="7">
        <f>ROUNDUP(Parametres!$B$7*Parametres!$B$8^(A171-1),0)</f>
        <v/>
      </c>
      <c r="C171" s="7">
        <f>SUM($B$2:B171)</f>
        <v/>
      </c>
      <c r="D171">
        <f>Parametres!$B$9+A171</f>
        <v/>
      </c>
      <c r="E171" s="11">
        <f>D171/Parametres!$B$10</f>
        <v/>
      </c>
    </row>
    <row r="172">
      <c r="A172" t="n">
        <v>171</v>
      </c>
      <c r="B172" s="7">
        <f>ROUNDUP(Parametres!$B$7*Parametres!$B$8^(A172-1),0)</f>
        <v/>
      </c>
      <c r="C172" s="7">
        <f>SUM($B$2:B172)</f>
        <v/>
      </c>
      <c r="D172">
        <f>Parametres!$B$9+A172</f>
        <v/>
      </c>
      <c r="E172" s="11">
        <f>D172/Parametres!$B$10</f>
        <v/>
      </c>
    </row>
    <row r="173">
      <c r="A173" t="n">
        <v>172</v>
      </c>
      <c r="B173" s="7">
        <f>ROUNDUP(Parametres!$B$7*Parametres!$B$8^(A173-1),0)</f>
        <v/>
      </c>
      <c r="C173" s="7">
        <f>SUM($B$2:B173)</f>
        <v/>
      </c>
      <c r="D173">
        <f>Parametres!$B$9+A173</f>
        <v/>
      </c>
      <c r="E173" s="11">
        <f>D173/Parametres!$B$10</f>
        <v/>
      </c>
    </row>
    <row r="174">
      <c r="A174" t="n">
        <v>173</v>
      </c>
      <c r="B174" s="7">
        <f>ROUNDUP(Parametres!$B$7*Parametres!$B$8^(A174-1),0)</f>
        <v/>
      </c>
      <c r="C174" s="7">
        <f>SUM($B$2:B174)</f>
        <v/>
      </c>
      <c r="D174">
        <f>Parametres!$B$9+A174</f>
        <v/>
      </c>
      <c r="E174" s="11">
        <f>D174/Parametres!$B$10</f>
        <v/>
      </c>
    </row>
    <row r="175">
      <c r="A175" t="n">
        <v>174</v>
      </c>
      <c r="B175" s="7">
        <f>ROUNDUP(Parametres!$B$7*Parametres!$B$8^(A175-1),0)</f>
        <v/>
      </c>
      <c r="C175" s="7">
        <f>SUM($B$2:B175)</f>
        <v/>
      </c>
      <c r="D175">
        <f>Parametres!$B$9+A175</f>
        <v/>
      </c>
      <c r="E175" s="11">
        <f>D175/Parametres!$B$10</f>
        <v/>
      </c>
    </row>
    <row r="176">
      <c r="A176" t="n">
        <v>175</v>
      </c>
      <c r="B176" s="7">
        <f>ROUNDUP(Parametres!$B$7*Parametres!$B$8^(A176-1),0)</f>
        <v/>
      </c>
      <c r="C176" s="7">
        <f>SUM($B$2:B176)</f>
        <v/>
      </c>
      <c r="D176">
        <f>Parametres!$B$9+A176</f>
        <v/>
      </c>
      <c r="E176" s="11">
        <f>D176/Parametres!$B$10</f>
        <v/>
      </c>
    </row>
    <row r="177">
      <c r="A177" t="n">
        <v>176</v>
      </c>
      <c r="B177" s="7">
        <f>ROUNDUP(Parametres!$B$7*Parametres!$B$8^(A177-1),0)</f>
        <v/>
      </c>
      <c r="C177" s="7">
        <f>SUM($B$2:B177)</f>
        <v/>
      </c>
      <c r="D177">
        <f>Parametres!$B$9+A177</f>
        <v/>
      </c>
      <c r="E177" s="11">
        <f>D177/Parametres!$B$10</f>
        <v/>
      </c>
    </row>
    <row r="178">
      <c r="A178" t="n">
        <v>177</v>
      </c>
      <c r="B178" s="7">
        <f>ROUNDUP(Parametres!$B$7*Parametres!$B$8^(A178-1),0)</f>
        <v/>
      </c>
      <c r="C178" s="7">
        <f>SUM($B$2:B178)</f>
        <v/>
      </c>
      <c r="D178">
        <f>Parametres!$B$9+A178</f>
        <v/>
      </c>
      <c r="E178" s="11">
        <f>D178/Parametres!$B$10</f>
        <v/>
      </c>
    </row>
    <row r="179">
      <c r="A179" t="n">
        <v>178</v>
      </c>
      <c r="B179" s="7">
        <f>ROUNDUP(Parametres!$B$7*Parametres!$B$8^(A179-1),0)</f>
        <v/>
      </c>
      <c r="C179" s="7">
        <f>SUM($B$2:B179)</f>
        <v/>
      </c>
      <c r="D179">
        <f>Parametres!$B$9+A179</f>
        <v/>
      </c>
      <c r="E179" s="11">
        <f>D179/Parametres!$B$10</f>
        <v/>
      </c>
    </row>
    <row r="180">
      <c r="A180" t="n">
        <v>179</v>
      </c>
      <c r="B180" s="7">
        <f>ROUNDUP(Parametres!$B$7*Parametres!$B$8^(A180-1),0)</f>
        <v/>
      </c>
      <c r="C180" s="7">
        <f>SUM($B$2:B180)</f>
        <v/>
      </c>
      <c r="D180">
        <f>Parametres!$B$9+A180</f>
        <v/>
      </c>
      <c r="E180" s="11">
        <f>D180/Parametres!$B$10</f>
        <v/>
      </c>
    </row>
    <row r="181">
      <c r="A181" t="n">
        <v>180</v>
      </c>
      <c r="B181" s="7">
        <f>ROUNDUP(Parametres!$B$7*Parametres!$B$8^(A181-1),0)</f>
        <v/>
      </c>
      <c r="C181" s="7">
        <f>SUM($B$2:B181)</f>
        <v/>
      </c>
      <c r="D181">
        <f>Parametres!$B$9+A181</f>
        <v/>
      </c>
      <c r="E181" s="11">
        <f>D181/Parametres!$B$10</f>
        <v/>
      </c>
    </row>
    <row r="182">
      <c r="A182" t="n">
        <v>181</v>
      </c>
      <c r="B182" s="7">
        <f>ROUNDUP(Parametres!$B$7*Parametres!$B$8^(A182-1),0)</f>
        <v/>
      </c>
      <c r="C182" s="7">
        <f>SUM($B$2:B182)</f>
        <v/>
      </c>
      <c r="D182">
        <f>Parametres!$B$9+A182</f>
        <v/>
      </c>
      <c r="E182" s="11">
        <f>D182/Parametres!$B$10</f>
        <v/>
      </c>
    </row>
    <row r="183">
      <c r="A183" t="n">
        <v>182</v>
      </c>
      <c r="B183" s="7">
        <f>ROUNDUP(Parametres!$B$7*Parametres!$B$8^(A183-1),0)</f>
        <v/>
      </c>
      <c r="C183" s="7">
        <f>SUM($B$2:B183)</f>
        <v/>
      </c>
      <c r="D183">
        <f>Parametres!$B$9+A183</f>
        <v/>
      </c>
      <c r="E183" s="11">
        <f>D183/Parametres!$B$10</f>
        <v/>
      </c>
    </row>
    <row r="184">
      <c r="A184" t="n">
        <v>183</v>
      </c>
      <c r="B184" s="7">
        <f>ROUNDUP(Parametres!$B$7*Parametres!$B$8^(A184-1),0)</f>
        <v/>
      </c>
      <c r="C184" s="7">
        <f>SUM($B$2:B184)</f>
        <v/>
      </c>
      <c r="D184">
        <f>Parametres!$B$9+A184</f>
        <v/>
      </c>
      <c r="E184" s="11">
        <f>D184/Parametres!$B$10</f>
        <v/>
      </c>
    </row>
    <row r="185">
      <c r="A185" t="n">
        <v>184</v>
      </c>
      <c r="B185" s="7">
        <f>ROUNDUP(Parametres!$B$7*Parametres!$B$8^(A185-1),0)</f>
        <v/>
      </c>
      <c r="C185" s="7">
        <f>SUM($B$2:B185)</f>
        <v/>
      </c>
      <c r="D185">
        <f>Parametres!$B$9+A185</f>
        <v/>
      </c>
      <c r="E185" s="11">
        <f>D185/Parametres!$B$10</f>
        <v/>
      </c>
    </row>
    <row r="186">
      <c r="A186" t="n">
        <v>185</v>
      </c>
      <c r="B186" s="7">
        <f>ROUNDUP(Parametres!$B$7*Parametres!$B$8^(A186-1),0)</f>
        <v/>
      </c>
      <c r="C186" s="7">
        <f>SUM($B$2:B186)</f>
        <v/>
      </c>
      <c r="D186">
        <f>Parametres!$B$9+A186</f>
        <v/>
      </c>
      <c r="E186" s="11">
        <f>D186/Parametres!$B$10</f>
        <v/>
      </c>
    </row>
    <row r="187">
      <c r="A187" t="n">
        <v>186</v>
      </c>
      <c r="B187" s="7">
        <f>ROUNDUP(Parametres!$B$7*Parametres!$B$8^(A187-1),0)</f>
        <v/>
      </c>
      <c r="C187" s="7">
        <f>SUM($B$2:B187)</f>
        <v/>
      </c>
      <c r="D187">
        <f>Parametres!$B$9+A187</f>
        <v/>
      </c>
      <c r="E187" s="11">
        <f>D187/Parametres!$B$10</f>
        <v/>
      </c>
    </row>
    <row r="188">
      <c r="A188" t="n">
        <v>187</v>
      </c>
      <c r="B188" s="7">
        <f>ROUNDUP(Parametres!$B$7*Parametres!$B$8^(A188-1),0)</f>
        <v/>
      </c>
      <c r="C188" s="7">
        <f>SUM($B$2:B188)</f>
        <v/>
      </c>
      <c r="D188">
        <f>Parametres!$B$9+A188</f>
        <v/>
      </c>
      <c r="E188" s="11">
        <f>D188/Parametres!$B$10</f>
        <v/>
      </c>
    </row>
    <row r="189">
      <c r="A189" t="n">
        <v>188</v>
      </c>
      <c r="B189" s="7">
        <f>ROUNDUP(Parametres!$B$7*Parametres!$B$8^(A189-1),0)</f>
        <v/>
      </c>
      <c r="C189" s="7">
        <f>SUM($B$2:B189)</f>
        <v/>
      </c>
      <c r="D189">
        <f>Parametres!$B$9+A189</f>
        <v/>
      </c>
      <c r="E189" s="11">
        <f>D189/Parametres!$B$10</f>
        <v/>
      </c>
    </row>
    <row r="190">
      <c r="A190" t="n">
        <v>189</v>
      </c>
      <c r="B190" s="7">
        <f>ROUNDUP(Parametres!$B$7*Parametres!$B$8^(A190-1),0)</f>
        <v/>
      </c>
      <c r="C190" s="7">
        <f>SUM($B$2:B190)</f>
        <v/>
      </c>
      <c r="D190">
        <f>Parametres!$B$9+A190</f>
        <v/>
      </c>
      <c r="E190" s="11">
        <f>D190/Parametres!$B$10</f>
        <v/>
      </c>
    </row>
    <row r="191">
      <c r="A191" t="n">
        <v>190</v>
      </c>
      <c r="B191" s="7">
        <f>ROUNDUP(Parametres!$B$7*Parametres!$B$8^(A191-1),0)</f>
        <v/>
      </c>
      <c r="C191" s="7">
        <f>SUM($B$2:B191)</f>
        <v/>
      </c>
      <c r="D191">
        <f>Parametres!$B$9+A191</f>
        <v/>
      </c>
      <c r="E191" s="11">
        <f>D191/Parametres!$B$10</f>
        <v/>
      </c>
    </row>
    <row r="192">
      <c r="A192" t="n">
        <v>191</v>
      </c>
      <c r="B192" s="7">
        <f>ROUNDUP(Parametres!$B$7*Parametres!$B$8^(A192-1),0)</f>
        <v/>
      </c>
      <c r="C192" s="7">
        <f>SUM($B$2:B192)</f>
        <v/>
      </c>
      <c r="D192">
        <f>Parametres!$B$9+A192</f>
        <v/>
      </c>
      <c r="E192" s="11">
        <f>D192/Parametres!$B$10</f>
        <v/>
      </c>
    </row>
    <row r="193">
      <c r="A193" t="n">
        <v>192</v>
      </c>
      <c r="B193" s="7">
        <f>ROUNDUP(Parametres!$B$7*Parametres!$B$8^(A193-1),0)</f>
        <v/>
      </c>
      <c r="C193" s="7">
        <f>SUM($B$2:B193)</f>
        <v/>
      </c>
      <c r="D193">
        <f>Parametres!$B$9+A193</f>
        <v/>
      </c>
      <c r="E193" s="11">
        <f>D193/Parametres!$B$10</f>
        <v/>
      </c>
    </row>
    <row r="194">
      <c r="A194" t="n">
        <v>193</v>
      </c>
      <c r="B194" s="7">
        <f>ROUNDUP(Parametres!$B$7*Parametres!$B$8^(A194-1),0)</f>
        <v/>
      </c>
      <c r="C194" s="7">
        <f>SUM($B$2:B194)</f>
        <v/>
      </c>
      <c r="D194">
        <f>Parametres!$B$9+A194</f>
        <v/>
      </c>
      <c r="E194" s="11">
        <f>D194/Parametres!$B$10</f>
        <v/>
      </c>
    </row>
    <row r="195">
      <c r="A195" t="n">
        <v>194</v>
      </c>
      <c r="B195" s="7">
        <f>ROUNDUP(Parametres!$B$7*Parametres!$B$8^(A195-1),0)</f>
        <v/>
      </c>
      <c r="C195" s="7">
        <f>SUM($B$2:B195)</f>
        <v/>
      </c>
      <c r="D195">
        <f>Parametres!$B$9+A195</f>
        <v/>
      </c>
      <c r="E195" s="11">
        <f>D195/Parametres!$B$10</f>
        <v/>
      </c>
    </row>
    <row r="196">
      <c r="A196" t="n">
        <v>195</v>
      </c>
      <c r="B196" s="7">
        <f>ROUNDUP(Parametres!$B$7*Parametres!$B$8^(A196-1),0)</f>
        <v/>
      </c>
      <c r="C196" s="7">
        <f>SUM($B$2:B196)</f>
        <v/>
      </c>
      <c r="D196">
        <f>Parametres!$B$9+A196</f>
        <v/>
      </c>
      <c r="E196" s="11">
        <f>D196/Parametres!$B$10</f>
        <v/>
      </c>
    </row>
    <row r="197">
      <c r="A197" t="n">
        <v>196</v>
      </c>
      <c r="B197" s="7">
        <f>ROUNDUP(Parametres!$B$7*Parametres!$B$8^(A197-1),0)</f>
        <v/>
      </c>
      <c r="C197" s="7">
        <f>SUM($B$2:B197)</f>
        <v/>
      </c>
      <c r="D197">
        <f>Parametres!$B$9+A197</f>
        <v/>
      </c>
      <c r="E197" s="11">
        <f>D197/Parametres!$B$10</f>
        <v/>
      </c>
    </row>
    <row r="198">
      <c r="A198" t="n">
        <v>197</v>
      </c>
      <c r="B198" s="7">
        <f>ROUNDUP(Parametres!$B$7*Parametres!$B$8^(A198-1),0)</f>
        <v/>
      </c>
      <c r="C198" s="7">
        <f>SUM($B$2:B198)</f>
        <v/>
      </c>
      <c r="D198">
        <f>Parametres!$B$9+A198</f>
        <v/>
      </c>
      <c r="E198" s="11">
        <f>D198/Parametres!$B$10</f>
        <v/>
      </c>
    </row>
    <row r="199">
      <c r="A199" t="n">
        <v>198</v>
      </c>
      <c r="B199" s="7">
        <f>ROUNDUP(Parametres!$B$7*Parametres!$B$8^(A199-1),0)</f>
        <v/>
      </c>
      <c r="C199" s="7">
        <f>SUM($B$2:B199)</f>
        <v/>
      </c>
      <c r="D199">
        <f>Parametres!$B$9+A199</f>
        <v/>
      </c>
      <c r="E199" s="11">
        <f>D199/Parametres!$B$10</f>
        <v/>
      </c>
    </row>
    <row r="200">
      <c r="A200" t="n">
        <v>199</v>
      </c>
      <c r="B200" s="7">
        <f>ROUNDUP(Parametres!$B$7*Parametres!$B$8^(A200-1),0)</f>
        <v/>
      </c>
      <c r="C200" s="7">
        <f>SUM($B$2:B200)</f>
        <v/>
      </c>
      <c r="D200">
        <f>Parametres!$B$9+A200</f>
        <v/>
      </c>
      <c r="E200" s="11">
        <f>D200/Parametres!$B$10</f>
        <v/>
      </c>
    </row>
    <row r="201">
      <c r="A201" t="n">
        <v>200</v>
      </c>
      <c r="B201" s="7">
        <f>ROUNDUP(Parametres!$B$7*Parametres!$B$8^(A201-1),0)</f>
        <v/>
      </c>
      <c r="C201" s="7">
        <f>SUM($B$2:B201)</f>
        <v/>
      </c>
      <c r="D201">
        <f>Parametres!$B$9+A201</f>
        <v/>
      </c>
      <c r="E201" s="11">
        <f>D201/Parametres!$B$10</f>
        <v/>
      </c>
    </row>
    <row r="202">
      <c r="A202" t="n">
        <v>201</v>
      </c>
      <c r="B202" s="7">
        <f>ROUNDUP(Parametres!$B$7*Parametres!$B$8^(A202-1),0)</f>
        <v/>
      </c>
      <c r="C202" s="7">
        <f>SUM($B$2:B202)</f>
        <v/>
      </c>
      <c r="D202">
        <f>Parametres!$B$9+A202</f>
        <v/>
      </c>
      <c r="E202" s="11">
        <f>D202/Parametres!$B$10</f>
        <v/>
      </c>
    </row>
    <row r="203">
      <c r="A203" t="n">
        <v>202</v>
      </c>
      <c r="B203" s="7">
        <f>ROUNDUP(Parametres!$B$7*Parametres!$B$8^(A203-1),0)</f>
        <v/>
      </c>
      <c r="C203" s="7">
        <f>SUM($B$2:B203)</f>
        <v/>
      </c>
      <c r="D203">
        <f>Parametres!$B$9+A203</f>
        <v/>
      </c>
      <c r="E203" s="11">
        <f>D203/Parametres!$B$10</f>
        <v/>
      </c>
    </row>
    <row r="204">
      <c r="A204" t="n">
        <v>203</v>
      </c>
      <c r="B204" s="7">
        <f>ROUNDUP(Parametres!$B$7*Parametres!$B$8^(A204-1),0)</f>
        <v/>
      </c>
      <c r="C204" s="7">
        <f>SUM($B$2:B204)</f>
        <v/>
      </c>
      <c r="D204">
        <f>Parametres!$B$9+A204</f>
        <v/>
      </c>
      <c r="E204" s="11">
        <f>D204/Parametres!$B$10</f>
        <v/>
      </c>
    </row>
    <row r="205">
      <c r="A205" t="n">
        <v>204</v>
      </c>
      <c r="B205" s="7">
        <f>ROUNDUP(Parametres!$B$7*Parametres!$B$8^(A205-1),0)</f>
        <v/>
      </c>
      <c r="C205" s="7">
        <f>SUM($B$2:B205)</f>
        <v/>
      </c>
      <c r="D205">
        <f>Parametres!$B$9+A205</f>
        <v/>
      </c>
      <c r="E205" s="11">
        <f>D205/Parametres!$B$10</f>
        <v/>
      </c>
    </row>
    <row r="206">
      <c r="A206" t="n">
        <v>205</v>
      </c>
      <c r="B206" s="7">
        <f>ROUNDUP(Parametres!$B$7*Parametres!$B$8^(A206-1),0)</f>
        <v/>
      </c>
      <c r="C206" s="7">
        <f>SUM($B$2:B206)</f>
        <v/>
      </c>
      <c r="D206">
        <f>Parametres!$B$9+A206</f>
        <v/>
      </c>
      <c r="E206" s="11">
        <f>D206/Parametres!$B$10</f>
        <v/>
      </c>
    </row>
    <row r="207">
      <c r="A207" t="n">
        <v>206</v>
      </c>
      <c r="B207" s="7">
        <f>ROUNDUP(Parametres!$B$7*Parametres!$B$8^(A207-1),0)</f>
        <v/>
      </c>
      <c r="C207" s="7">
        <f>SUM($B$2:B207)</f>
        <v/>
      </c>
      <c r="D207">
        <f>Parametres!$B$9+A207</f>
        <v/>
      </c>
      <c r="E207" s="11">
        <f>D207/Parametres!$B$10</f>
        <v/>
      </c>
    </row>
    <row r="208">
      <c r="A208" t="n">
        <v>207</v>
      </c>
      <c r="B208" s="7">
        <f>ROUNDUP(Parametres!$B$7*Parametres!$B$8^(A208-1),0)</f>
        <v/>
      </c>
      <c r="C208" s="7">
        <f>SUM($B$2:B208)</f>
        <v/>
      </c>
      <c r="D208">
        <f>Parametres!$B$9+A208</f>
        <v/>
      </c>
      <c r="E208" s="11">
        <f>D208/Parametres!$B$10</f>
        <v/>
      </c>
    </row>
    <row r="209">
      <c r="A209" t="n">
        <v>208</v>
      </c>
      <c r="B209" s="7">
        <f>ROUNDUP(Parametres!$B$7*Parametres!$B$8^(A209-1),0)</f>
        <v/>
      </c>
      <c r="C209" s="7">
        <f>SUM($B$2:B209)</f>
        <v/>
      </c>
      <c r="D209">
        <f>Parametres!$B$9+A209</f>
        <v/>
      </c>
      <c r="E209" s="11">
        <f>D209/Parametres!$B$10</f>
        <v/>
      </c>
    </row>
    <row r="210">
      <c r="A210" t="n">
        <v>209</v>
      </c>
      <c r="B210" s="7">
        <f>ROUNDUP(Parametres!$B$7*Parametres!$B$8^(A210-1),0)</f>
        <v/>
      </c>
      <c r="C210" s="7">
        <f>SUM($B$2:B210)</f>
        <v/>
      </c>
      <c r="D210">
        <f>Parametres!$B$9+A210</f>
        <v/>
      </c>
      <c r="E210" s="11">
        <f>D210/Parametres!$B$10</f>
        <v/>
      </c>
    </row>
    <row r="211">
      <c r="A211" t="n">
        <v>210</v>
      </c>
      <c r="B211" s="7">
        <f>ROUNDUP(Parametres!$B$7*Parametres!$B$8^(A211-1),0)</f>
        <v/>
      </c>
      <c r="C211" s="7">
        <f>SUM($B$2:B211)</f>
        <v/>
      </c>
      <c r="D211">
        <f>Parametres!$B$9+A211</f>
        <v/>
      </c>
      <c r="E211" s="11">
        <f>D211/Parametres!$B$10</f>
        <v/>
      </c>
    </row>
    <row r="212">
      <c r="A212" t="n">
        <v>211</v>
      </c>
      <c r="B212" s="7">
        <f>ROUNDUP(Parametres!$B$7*Parametres!$B$8^(A212-1),0)</f>
        <v/>
      </c>
      <c r="C212" s="7">
        <f>SUM($B$2:B212)</f>
        <v/>
      </c>
      <c r="D212">
        <f>Parametres!$B$9+A212</f>
        <v/>
      </c>
      <c r="E212" s="11">
        <f>D212/Parametres!$B$10</f>
        <v/>
      </c>
    </row>
    <row r="213">
      <c r="A213" t="n">
        <v>212</v>
      </c>
      <c r="B213" s="7">
        <f>ROUNDUP(Parametres!$B$7*Parametres!$B$8^(A213-1),0)</f>
        <v/>
      </c>
      <c r="C213" s="7">
        <f>SUM($B$2:B213)</f>
        <v/>
      </c>
      <c r="D213">
        <f>Parametres!$B$9+A213</f>
        <v/>
      </c>
      <c r="E213" s="11">
        <f>D213/Parametres!$B$10</f>
        <v/>
      </c>
    </row>
    <row r="214">
      <c r="A214" t="n">
        <v>213</v>
      </c>
      <c r="B214" s="7">
        <f>ROUNDUP(Parametres!$B$7*Parametres!$B$8^(A214-1),0)</f>
        <v/>
      </c>
      <c r="C214" s="7">
        <f>SUM($B$2:B214)</f>
        <v/>
      </c>
      <c r="D214">
        <f>Parametres!$B$9+A214</f>
        <v/>
      </c>
      <c r="E214" s="11">
        <f>D214/Parametres!$B$10</f>
        <v/>
      </c>
    </row>
    <row r="215">
      <c r="A215" t="n">
        <v>214</v>
      </c>
      <c r="B215" s="7">
        <f>ROUNDUP(Parametres!$B$7*Parametres!$B$8^(A215-1),0)</f>
        <v/>
      </c>
      <c r="C215" s="7">
        <f>SUM($B$2:B215)</f>
        <v/>
      </c>
      <c r="D215">
        <f>Parametres!$B$9+A215</f>
        <v/>
      </c>
      <c r="E215" s="11">
        <f>D215/Parametres!$B$10</f>
        <v/>
      </c>
    </row>
    <row r="216">
      <c r="A216" t="n">
        <v>215</v>
      </c>
      <c r="B216" s="7">
        <f>ROUNDUP(Parametres!$B$7*Parametres!$B$8^(A216-1),0)</f>
        <v/>
      </c>
      <c r="C216" s="7">
        <f>SUM($B$2:B216)</f>
        <v/>
      </c>
      <c r="D216">
        <f>Parametres!$B$9+A216</f>
        <v/>
      </c>
      <c r="E216" s="11">
        <f>D216/Parametres!$B$10</f>
        <v/>
      </c>
    </row>
    <row r="217">
      <c r="A217" t="n">
        <v>216</v>
      </c>
      <c r="B217" s="7">
        <f>ROUNDUP(Parametres!$B$7*Parametres!$B$8^(A217-1),0)</f>
        <v/>
      </c>
      <c r="C217" s="7">
        <f>SUM($B$2:B217)</f>
        <v/>
      </c>
      <c r="D217">
        <f>Parametres!$B$9+A217</f>
        <v/>
      </c>
      <c r="E217" s="11">
        <f>D217/Parametres!$B$10</f>
        <v/>
      </c>
    </row>
    <row r="218">
      <c r="A218" t="n">
        <v>217</v>
      </c>
      <c r="B218" s="7">
        <f>ROUNDUP(Parametres!$B$7*Parametres!$B$8^(A218-1),0)</f>
        <v/>
      </c>
      <c r="C218" s="7">
        <f>SUM($B$2:B218)</f>
        <v/>
      </c>
      <c r="D218">
        <f>Parametres!$B$9+A218</f>
        <v/>
      </c>
      <c r="E218" s="11">
        <f>D218/Parametres!$B$10</f>
        <v/>
      </c>
    </row>
    <row r="219">
      <c r="A219" t="n">
        <v>218</v>
      </c>
      <c r="B219" s="7">
        <f>ROUNDUP(Parametres!$B$7*Parametres!$B$8^(A219-1),0)</f>
        <v/>
      </c>
      <c r="C219" s="7">
        <f>SUM($B$2:B219)</f>
        <v/>
      </c>
      <c r="D219">
        <f>Parametres!$B$9+A219</f>
        <v/>
      </c>
      <c r="E219" s="11">
        <f>D219/Parametres!$B$10</f>
        <v/>
      </c>
    </row>
    <row r="220">
      <c r="A220" t="n">
        <v>219</v>
      </c>
      <c r="B220" s="7">
        <f>ROUNDUP(Parametres!$B$7*Parametres!$B$8^(A220-1),0)</f>
        <v/>
      </c>
      <c r="C220" s="7">
        <f>SUM($B$2:B220)</f>
        <v/>
      </c>
      <c r="D220">
        <f>Parametres!$B$9+A220</f>
        <v/>
      </c>
      <c r="E220" s="11">
        <f>D220/Parametres!$B$10</f>
        <v/>
      </c>
    </row>
    <row r="221">
      <c r="A221" t="n">
        <v>220</v>
      </c>
      <c r="B221" s="7">
        <f>ROUNDUP(Parametres!$B$7*Parametres!$B$8^(A221-1),0)</f>
        <v/>
      </c>
      <c r="C221" s="7">
        <f>SUM($B$2:B221)</f>
        <v/>
      </c>
      <c r="D221">
        <f>Parametres!$B$9+A221</f>
        <v/>
      </c>
      <c r="E221" s="11">
        <f>D221/Parametres!$B$10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3" customWidth="1" min="3" max="3"/>
    <col width="11" customWidth="1" min="4" max="4"/>
    <col width="9" customWidth="1" min="5" max="5"/>
    <col width="9" customWidth="1" min="6" max="6"/>
    <col width="9" customWidth="1" min="7" max="7"/>
    <col width="13" customWidth="1" min="8" max="8"/>
    <col width="11" customWidth="1" min="9" max="9"/>
  </cols>
  <sheetData>
    <row r="1">
      <c r="A1" s="12" t="inlineStr">
        <is>
          <t>Revenu en or estimé selon le village (saisis la composition)</t>
        </is>
      </c>
    </row>
    <row r="3">
      <c r="A3" s="1" t="inlineStr">
        <is>
          <t>Bâtiment</t>
        </is>
      </c>
      <c r="B3" s="1" t="inlineStr">
        <is>
          <t>Quantité</t>
        </is>
      </c>
      <c r="C3" s="1" t="inlineStr">
        <is>
          <t>Niveau moyen</t>
        </is>
      </c>
      <c r="D3" s="1" t="inlineStr">
        <is>
          <t>Or/s total</t>
        </is>
      </c>
      <c r="E3" s="1" t="inlineStr">
        <is>
          <t>Bois/s</t>
        </is>
      </c>
      <c r="F3" s="1" t="inlineStr">
        <is>
          <t>Pierre/s</t>
        </is>
      </c>
      <c r="G3" s="1" t="inlineStr">
        <is>
          <t>Savoir/s</t>
        </is>
      </c>
      <c r="H3" s="1" t="inlineStr">
        <is>
          <t>Travailleurs</t>
        </is>
      </c>
      <c r="I3" s="1" t="inlineStr">
        <is>
          <t>Population</t>
        </is>
      </c>
    </row>
    <row r="4">
      <c r="A4" t="inlineStr">
        <is>
          <t>Mairie</t>
        </is>
      </c>
      <c r="B4" s="2" t="n">
        <v>1</v>
      </c>
      <c r="C4" s="2" t="n">
        <v>1</v>
      </c>
      <c r="D4" s="9">
        <f>IF(Batiments!$I$2="gold",Batiments!$J$2*C4*Parametres!$B$6^C4*B4,0)</f>
        <v/>
      </c>
      <c r="E4" s="9">
        <f>IF(Batiments!$I$2="wood",Batiments!$J$2*C4*Parametres!$B$6^C4*B4,0)</f>
        <v/>
      </c>
      <c r="F4" s="9">
        <f>IF(Batiments!$I$2="stone",Batiments!$J$2*C4*Parametres!$B$6^C4*B4,0)</f>
        <v/>
      </c>
      <c r="G4" s="9">
        <f>IF(Batiments!$I$2="knowledge",Batiments!$J$2*C4*Parametres!$B$6^C4*B4,0)</f>
        <v/>
      </c>
      <c r="H4">
        <f>Batiments!$K$2*B4</f>
        <v/>
      </c>
      <c r="I4">
        <f>Batiments!$L$2*B4*C4</f>
        <v/>
      </c>
    </row>
    <row r="5">
      <c r="A5" t="inlineStr">
        <is>
          <t>Maison</t>
        </is>
      </c>
      <c r="B5" s="2" t="n">
        <v>1</v>
      </c>
      <c r="C5" s="2" t="n">
        <v>1</v>
      </c>
      <c r="D5" s="9">
        <f>IF(Batiments!$I$3="gold",Batiments!$J$3*C5*Parametres!$B$6^C5*B5,0)</f>
        <v/>
      </c>
      <c r="E5" s="9">
        <f>IF(Batiments!$I$3="wood",Batiments!$J$3*C5*Parametres!$B$6^C5*B5,0)</f>
        <v/>
      </c>
      <c r="F5" s="9">
        <f>IF(Batiments!$I$3="stone",Batiments!$J$3*C5*Parametres!$B$6^C5*B5,0)</f>
        <v/>
      </c>
      <c r="G5" s="9">
        <f>IF(Batiments!$I$3="knowledge",Batiments!$J$3*C5*Parametres!$B$6^C5*B5,0)</f>
        <v/>
      </c>
      <c r="H5">
        <f>Batiments!$K$3*B5</f>
        <v/>
      </c>
      <c r="I5">
        <f>Batiments!$L$3*B5*C5</f>
        <v/>
      </c>
    </row>
    <row r="6">
      <c r="A6" t="inlineStr">
        <is>
          <t>Scierie</t>
        </is>
      </c>
      <c r="B6" s="2" t="n">
        <v>1</v>
      </c>
      <c r="C6" s="2" t="n">
        <v>1</v>
      </c>
      <c r="D6" s="9">
        <f>IF(Batiments!$I$4="gold",Batiments!$J$4*C6*Parametres!$B$6^C6*B6,0)</f>
        <v/>
      </c>
      <c r="E6" s="9">
        <f>IF(Batiments!$I$4="wood",Batiments!$J$4*C6*Parametres!$B$6^C6*B6,0)</f>
        <v/>
      </c>
      <c r="F6" s="9">
        <f>IF(Batiments!$I$4="stone",Batiments!$J$4*C6*Parametres!$B$6^C6*B6,0)</f>
        <v/>
      </c>
      <c r="G6" s="9">
        <f>IF(Batiments!$I$4="knowledge",Batiments!$J$4*C6*Parametres!$B$6^C6*B6,0)</f>
        <v/>
      </c>
      <c r="H6">
        <f>Batiments!$K$4*B6</f>
        <v/>
      </c>
      <c r="I6">
        <f>Batiments!$L$4*B6*C6</f>
        <v/>
      </c>
    </row>
    <row r="7">
      <c r="A7" t="inlineStr">
        <is>
          <t>Carrière</t>
        </is>
      </c>
      <c r="B7" s="2" t="n">
        <v>0</v>
      </c>
      <c r="C7" s="2" t="n">
        <v>1</v>
      </c>
      <c r="D7" s="9">
        <f>IF(Batiments!$I$5="gold",Batiments!$J$5*C7*Parametres!$B$6^C7*B7,0)</f>
        <v/>
      </c>
      <c r="E7" s="9">
        <f>IF(Batiments!$I$5="wood",Batiments!$J$5*C7*Parametres!$B$6^C7*B7,0)</f>
        <v/>
      </c>
      <c r="F7" s="9">
        <f>IF(Batiments!$I$5="stone",Batiments!$J$5*C7*Parametres!$B$6^C7*B7,0)</f>
        <v/>
      </c>
      <c r="G7" s="9">
        <f>IF(Batiments!$I$5="knowledge",Batiments!$J$5*C7*Parametres!$B$6^C7*B7,0)</f>
        <v/>
      </c>
      <c r="H7">
        <f>Batiments!$K$5*B7</f>
        <v/>
      </c>
      <c r="I7">
        <f>Batiments!$L$5*B7*C7</f>
        <v/>
      </c>
    </row>
    <row r="8">
      <c r="A8" t="inlineStr">
        <is>
          <t>École</t>
        </is>
      </c>
      <c r="B8" s="2" t="n">
        <v>0</v>
      </c>
      <c r="C8" s="2" t="n">
        <v>1</v>
      </c>
      <c r="D8" s="9">
        <f>IF(Batiments!$I$6="gold",Batiments!$J$6*C8*Parametres!$B$6^C8*B8,0)</f>
        <v/>
      </c>
      <c r="E8" s="9">
        <f>IF(Batiments!$I$6="wood",Batiments!$J$6*C8*Parametres!$B$6^C8*B8,0)</f>
        <v/>
      </c>
      <c r="F8" s="9">
        <f>IF(Batiments!$I$6="stone",Batiments!$J$6*C8*Parametres!$B$6^C8*B8,0)</f>
        <v/>
      </c>
      <c r="G8" s="9">
        <f>IF(Batiments!$I$6="knowledge",Batiments!$J$6*C8*Parametres!$B$6^C8*B8,0)</f>
        <v/>
      </c>
      <c r="H8">
        <f>Batiments!$K$6*B8</f>
        <v/>
      </c>
      <c r="I8">
        <f>Batiments!$L$6*B8*C8</f>
        <v/>
      </c>
    </row>
    <row r="9">
      <c r="A9" t="inlineStr">
        <is>
          <t>Marché</t>
        </is>
      </c>
      <c r="B9" s="2" t="n">
        <v>0</v>
      </c>
      <c r="C9" s="2" t="n">
        <v>1</v>
      </c>
      <c r="D9" s="9">
        <f>IF(Batiments!$I$7="gold",Batiments!$J$7*C9*Parametres!$B$6^C9*B9,0)</f>
        <v/>
      </c>
      <c r="E9" s="9">
        <f>IF(Batiments!$I$7="wood",Batiments!$J$7*C9*Parametres!$B$6^C9*B9,0)</f>
        <v/>
      </c>
      <c r="F9" s="9">
        <f>IF(Batiments!$I$7="stone",Batiments!$J$7*C9*Parametres!$B$6^C9*B9,0)</f>
        <v/>
      </c>
      <c r="G9" s="9">
        <f>IF(Batiments!$I$7="knowledge",Batiments!$J$7*C9*Parametres!$B$6^C9*B9,0)</f>
        <v/>
      </c>
      <c r="H9">
        <f>Batiments!$K$7*B9</f>
        <v/>
      </c>
      <c r="I9">
        <f>Batiments!$L$7*B9*C9</f>
        <v/>
      </c>
    </row>
    <row r="10">
      <c r="A10" t="inlineStr">
        <is>
          <t>Entrepôt</t>
        </is>
      </c>
      <c r="B10" s="2" t="n">
        <v>0</v>
      </c>
      <c r="C10" s="2" t="n">
        <v>1</v>
      </c>
      <c r="D10" s="9">
        <f>IF(Batiments!$I$8="gold",Batiments!$J$8*C10*Parametres!$B$6^C10*B10,0)</f>
        <v/>
      </c>
      <c r="E10" s="9">
        <f>IF(Batiments!$I$8="wood",Batiments!$J$8*C10*Parametres!$B$6^C10*B10,0)</f>
        <v/>
      </c>
      <c r="F10" s="9">
        <f>IF(Batiments!$I$8="stone",Batiments!$J$8*C10*Parametres!$B$6^C10*B10,0)</f>
        <v/>
      </c>
      <c r="G10" s="9">
        <f>IF(Batiments!$I$8="knowledge",Batiments!$J$8*C10*Parametres!$B$6^C10*B10,0)</f>
        <v/>
      </c>
      <c r="H10">
        <f>Batiments!$K$8*B10</f>
        <v/>
      </c>
      <c r="I10">
        <f>Batiments!$L$8*B10*C10</f>
        <v/>
      </c>
    </row>
    <row r="11">
      <c r="A11" t="inlineStr">
        <is>
          <t>Bibliothèque</t>
        </is>
      </c>
      <c r="B11" s="2" t="n">
        <v>0</v>
      </c>
      <c r="C11" s="2" t="n">
        <v>1</v>
      </c>
      <c r="D11" s="9">
        <f>IF(Batiments!$I$9="gold",Batiments!$J$9*C11*Parametres!$B$6^C11*B11,0)</f>
        <v/>
      </c>
      <c r="E11" s="9">
        <f>IF(Batiments!$I$9="wood",Batiments!$J$9*C11*Parametres!$B$6^C11*B11,0)</f>
        <v/>
      </c>
      <c r="F11" s="9">
        <f>IF(Batiments!$I$9="stone",Batiments!$J$9*C11*Parametres!$B$6^C11*B11,0)</f>
        <v/>
      </c>
      <c r="G11" s="9">
        <f>IF(Batiments!$I$9="knowledge",Batiments!$J$9*C11*Parametres!$B$6^C11*B11,0)</f>
        <v/>
      </c>
      <c r="H11">
        <f>Batiments!$K$9*B11</f>
        <v/>
      </c>
      <c r="I11">
        <f>Batiments!$L$9*B11*C11</f>
        <v/>
      </c>
    </row>
    <row r="12">
      <c r="A12" t="inlineStr">
        <is>
          <t>Fontaine</t>
        </is>
      </c>
      <c r="B12" s="2" t="n">
        <v>0</v>
      </c>
      <c r="C12" s="2" t="n">
        <v>1</v>
      </c>
      <c r="D12" s="9">
        <f>IF(Batiments!$I$10="gold",Batiments!$J$10*C12*Parametres!$B$6^C12*B12,0)</f>
        <v/>
      </c>
      <c r="E12" s="9">
        <f>IF(Batiments!$I$10="wood",Batiments!$J$10*C12*Parametres!$B$6^C12*B12,0)</f>
        <v/>
      </c>
      <c r="F12" s="9">
        <f>IF(Batiments!$I$10="stone",Batiments!$J$10*C12*Parametres!$B$6^C12*B12,0)</f>
        <v/>
      </c>
      <c r="G12" s="9">
        <f>IF(Batiments!$I$10="knowledge",Batiments!$J$10*C12*Parametres!$B$6^C12*B12,0)</f>
        <v/>
      </c>
      <c r="H12">
        <f>Batiments!$K$10*B12</f>
        <v/>
      </c>
      <c r="I12">
        <f>Batiments!$L$10*B12*C12</f>
        <v/>
      </c>
    </row>
    <row r="13">
      <c r="A13" t="inlineStr">
        <is>
          <t>Monument</t>
        </is>
      </c>
      <c r="B13" s="2" t="n">
        <v>0</v>
      </c>
      <c r="C13" s="2" t="n">
        <v>1</v>
      </c>
      <c r="D13" s="9">
        <f>IF(Batiments!$I$11="gold",Batiments!$J$11*C13*Parametres!$B$6^C13*B13,0)</f>
        <v/>
      </c>
      <c r="E13" s="9">
        <f>IF(Batiments!$I$11="wood",Batiments!$J$11*C13*Parametres!$B$6^C13*B13,0)</f>
        <v/>
      </c>
      <c r="F13" s="9">
        <f>IF(Batiments!$I$11="stone",Batiments!$J$11*C13*Parametres!$B$6^C13*B13,0)</f>
        <v/>
      </c>
      <c r="G13" s="9">
        <f>IF(Batiments!$I$11="knowledge",Batiments!$J$11*C13*Parametres!$B$6^C13*B13,0)</f>
        <v/>
      </c>
      <c r="H13">
        <f>Batiments!$K$11*B13</f>
        <v/>
      </c>
      <c r="I13">
        <f>Batiments!$L$11*B13*C13</f>
        <v/>
      </c>
    </row>
    <row r="14">
      <c r="A14" s="5" t="inlineStr">
        <is>
          <t>TOTAL</t>
        </is>
      </c>
      <c r="D14" s="5">
        <f>SUM(D4:D13)</f>
        <v/>
      </c>
      <c r="E14" s="5">
        <f>SUM(E4:E13)</f>
        <v/>
      </c>
      <c r="F14" s="5">
        <f>SUM(F4:F13)</f>
        <v/>
      </c>
      <c r="G14" s="5">
        <f>SUM(G4:G13)</f>
        <v/>
      </c>
      <c r="H14" s="5">
        <f>SUM(H4:H13)</f>
        <v/>
      </c>
      <c r="I14" s="5">
        <f>SUM(I4:I13)</f>
        <v/>
      </c>
    </row>
    <row r="16">
      <c r="A16" t="inlineStr">
        <is>
          <t>Or / heure</t>
        </is>
      </c>
      <c r="B16" s="7">
        <f>D14*3600</f>
        <v/>
      </c>
    </row>
    <row r="17">
      <c r="A17" t="inlineStr">
        <is>
          <t>Population libre</t>
        </is>
      </c>
      <c r="B17">
        <f>I14-H14</f>
        <v/>
      </c>
    </row>
    <row r="18">
      <c r="A18" t="inlineStr">
        <is>
          <t>Prochaine tuile n°</t>
        </is>
      </c>
      <c r="B18" s="2" t="n">
        <v>10</v>
      </c>
    </row>
    <row r="19">
      <c r="A19" t="inlineStr">
        <is>
          <t>Heures de jeu pour la payer</t>
        </is>
      </c>
      <c r="B19" s="13">
        <f>INDEX(Tuiles!$B$2:$B$221,B18)/MAX(B16,0.0001)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2026-10-23T07:31:27Z</dcterms:created>
  <dcterms:modified xsi:type="dcterms:W3CDTF">2026-10-23T07:31:27Z</dcterms:modified>
</cp:coreProperties>
</file>